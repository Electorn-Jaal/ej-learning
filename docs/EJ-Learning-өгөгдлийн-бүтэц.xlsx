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Танилцуулга" sheetId="1" state="visible" r:id="rId1"/>
    <sheet name="01 Холбоосын бүдүүвч" sheetId="2" state="visible" r:id="rId2"/>
    <sheet name="02 Хичээл" sheetId="3" state="visible" r:id="rId3"/>
    <sheet name="03 Анги" sheetId="4" state="visible" r:id="rId4"/>
    <sheet name="04 Багш" sheetId="5" state="visible" r:id="rId5"/>
    <sheet name="05 Багш-анги-хичээл" sheetId="6" state="visible" r:id="rId6"/>
    <sheet name="06 Сурагч" sheetId="7" state="visible" r:id="rId7"/>
    <sheet name="07 Ном" sheetId="8" state="visible" r:id="rId8"/>
    <sheet name="08 Анги-хичээл-ном" sheetId="9" state="visible" r:id="rId9"/>
    <sheet name="09 Номын сэдэв" sheetId="10" state="visible" r:id="rId10"/>
    <sheet name="10 Улирал" sheetId="11" state="visible" r:id="rId11"/>
    <sheet name="11 Ангийн одоогийн сэдэв" sheetId="12" state="visible" r:id="rId12"/>
    <sheet name="12 Хичээлийн хуваарь" sheetId="13" state="visible" r:id="rId13"/>
    <sheet name="13 Хичээлийн агуулга" sheetId="14" state="visible" r:id="rId14"/>
    <sheet name="14 Чадвар" sheetId="15" state="visible" r:id="rId15"/>
    <sheet name="15 Чадварын урьдач нөхцөл" sheetId="16" state="visible" r:id="rId16"/>
    <sheet name="16 Сэдэв-чадвар-ном" sheetId="17" state="visible" r:id="rId17"/>
    <sheet name="17 Асуултын сан" sheetId="18" state="visible" r:id="rId18"/>
    <sheet name="18 Асуултын сонголт" sheetId="19" state="visible" r:id="rId19"/>
    <sheet name="19 Дасгал даалгавар" sheetId="20" state="visible" r:id="rId20"/>
    <sheet name="20 Эзэмшилт шалгах" sheetId="21" state="visible" r:id="rId21"/>
    <sheet name="21 Шалгалт" sheetId="22" state="visible" r:id="rId22"/>
    <sheet name="22 Шалгалтын асуултууд" sheetId="23" state="visible" r:id="rId23"/>
    <sheet name="23 Шалгалтын дүн" sheetId="24" state="visible" r:id="rId24"/>
    <sheet name="24 Асуултын хариулт" sheetId="25" state="visible" r:id="rId25"/>
    <sheet name="25 Чадварын түвшин" sheetId="26" state="visible" r:id="rId26"/>
    <sheet name="26 Хувийн ажил" sheetId="27" state="visible" r:id="rId27"/>
    <sheet name="27 Хүснэгтийн зураглал" sheetId="28" state="visible" r:id="rId28"/>
  </sheets>
  <definedNames>
    <definedName name="_xlnm._FilterDatabase" localSheetId="1" hidden="1">'01 Холбоосын бүдүүвч'!$A$5:$G$26</definedName>
    <definedName name="_xlnm._FilterDatabase" localSheetId="2" hidden="1">'02 Хичээл'!$A$5:$F$17</definedName>
    <definedName name="_xlnm._FilterDatabase" localSheetId="3" hidden="1">'03 Анги'!$A$5:$H$19</definedName>
    <definedName name="_xlnm._FilterDatabase" localSheetId="4" hidden="1">'04 Багш'!$A$5:$H$29</definedName>
    <definedName name="_xlnm._FilterDatabase" localSheetId="5" hidden="1">'05 Багш-анги-хичээл'!$A$5:$I$16</definedName>
    <definedName name="_xlnm._FilterDatabase" localSheetId="6" hidden="1">'06 Сурагч'!$A$5:$I$252</definedName>
    <definedName name="_xlnm._FilterDatabase" localSheetId="7" hidden="1">'07 Ном'!$A$5:$K$16</definedName>
    <definedName name="_xlnm._FilterDatabase" localSheetId="8" hidden="1">'08 Анги-хичээл-ном'!$A$5:$H$124</definedName>
    <definedName name="_xlnm._FilterDatabase" localSheetId="9" hidden="1">'09 Номын сэдэв'!$A$5:$I$108</definedName>
    <definedName name="_xlnm._FilterDatabase" localSheetId="10" hidden="1">'10 Улирал'!$A$5:$H$9</definedName>
    <definedName name="_xlnm._FilterDatabase" localSheetId="11" hidden="1">'11 Ангийн одоогийн сэдэв'!$A$5:$K$8</definedName>
    <definedName name="_xlnm._FilterDatabase" localSheetId="12" hidden="1">'12 Хичээлийн хуваарь'!$A$5:$M$17</definedName>
    <definedName name="_xlnm._FilterDatabase" localSheetId="13" hidden="1">'13 Хичээлийн агуулга'!$A$5:$M$8</definedName>
    <definedName name="_xlnm._FilterDatabase" localSheetId="14" hidden="1">'14 Чадвар'!$A$5:$I$11</definedName>
    <definedName name="_xlnm._FilterDatabase" localSheetId="15" hidden="1">'15 Чадварын урьдач нөхцөл'!$A$5:$G$9</definedName>
    <definedName name="_xlnm._FilterDatabase" localSheetId="16" hidden="1">'16 Сэдэв-чадвар-ном'!$A$5:$K$11</definedName>
    <definedName name="_xlnm._FilterDatabase" localSheetId="17" hidden="1">'17 Асуултын сан'!$A$5:$P$11</definedName>
    <definedName name="_xlnm._FilterDatabase" localSheetId="18" hidden="1">'18 Асуултын сонголт'!$A$5:$F$21</definedName>
    <definedName name="_xlnm._FilterDatabase" localSheetId="19" hidden="1">'19 Дасгал даалгавар'!$A$5:$M$9</definedName>
    <definedName name="_xlnm._FilterDatabase" localSheetId="20" hidden="1">'20 Эзэмшилт шалгах'!$A$5:$M$8</definedName>
    <definedName name="_xlnm._FilterDatabase" localSheetId="21" hidden="1">'21 Шалгалт'!$A$5:$L$10</definedName>
    <definedName name="_xlnm._FilterDatabase" localSheetId="22" hidden="1">'22 Шалгалтын асуултууд'!$A$5:$H$15</definedName>
    <definedName name="_xlnm._FilterDatabase" localSheetId="23" hidden="1">'23 Шалгалтын дүн'!$A$5:$L$10</definedName>
    <definedName name="_xlnm._FilterDatabase" localSheetId="24" hidden="1">'24 Асуултын хариулт'!$A$5:$L$12</definedName>
    <definedName name="_xlnm._FilterDatabase" localSheetId="25" hidden="1">'25 Чадварын түвшин'!$A$5:$K$11</definedName>
    <definedName name="_xlnm._FilterDatabase" localSheetId="26" hidden="1">'26 Хувийн ажил'!$A$5:$M$9</definedName>
    <definedName name="_xlnm._FilterDatabase" localSheetId="27" hidden="1">'27 Хүснэгтийн зураглал'!$A$5:$F$29</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2">
    <font>
      <name val="Calibri"/>
      <family val="2"/>
      <color theme="1"/>
      <sz val="11"/>
      <scheme val="minor"/>
    </font>
    <font>
      <name val="Arial"/>
      <b val="1"/>
      <color rgb="001F3864"/>
      <sz val="14"/>
    </font>
    <font>
      <name val="Arial"/>
      <color rgb="00404040"/>
      <sz val="10"/>
    </font>
    <font>
      <name val="Arial"/>
      <b val="1"/>
      <color rgb="001F6B3A"/>
      <sz val="10"/>
    </font>
    <font>
      <name val="Arial"/>
      <b val="1"/>
      <color rgb="00FFFFFF"/>
      <sz val="10"/>
    </font>
    <font>
      <name val="Arial"/>
      <sz val="10"/>
    </font>
    <font>
      <name val="Arial"/>
      <b val="1"/>
      <color rgb="009C5700"/>
      <sz val="10"/>
    </font>
    <font>
      <name val="Arial"/>
      <i val="1"/>
      <color rgb="007F7F7F"/>
      <sz val="9"/>
    </font>
    <font>
      <name val="Arial"/>
      <b val="1"/>
      <color rgb="00A61C00"/>
      <sz val="10"/>
    </font>
    <font>
      <name val="Arial"/>
      <b val="1"/>
      <color rgb="001F3864"/>
      <sz val="16"/>
    </font>
    <font>
      <name val="Arial"/>
      <b val="1"/>
      <sz val="12"/>
    </font>
    <font>
      <name val="Arial"/>
      <b val="1"/>
      <sz val="10"/>
    </font>
  </fonts>
  <fills count="8">
    <fill>
      <patternFill/>
    </fill>
    <fill>
      <patternFill patternType="gray125"/>
    </fill>
    <fill>
      <patternFill patternType="solid">
        <fgColor rgb="00E2EFDA"/>
      </patternFill>
    </fill>
    <fill>
      <patternFill patternType="solid">
        <fgColor rgb="001F3864"/>
      </patternFill>
    </fill>
    <fill>
      <patternFill patternType="solid">
        <fgColor rgb="00FFF4CC"/>
      </patternFill>
    </fill>
    <fill>
      <patternFill patternType="solid">
        <fgColor rgb="00FFF2CC"/>
      </patternFill>
    </fill>
    <fill>
      <patternFill patternType="solid">
        <fgColor rgb="00FCE4E4"/>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9" fillId="0" borderId="0" pivotButton="0" quotePrefix="0" xfId="0"/>
    <xf numFmtId="0" fontId="2" fillId="0" borderId="0" applyAlignment="1" pivotButton="0" quotePrefix="0" xfId="0">
      <alignment vertical="top" wrapText="1"/>
    </xf>
    <xf numFmtId="0" fontId="10" fillId="0" borderId="0" pivotButton="0" quotePrefix="0" xfId="0"/>
    <xf numFmtId="0" fontId="3" fillId="7" borderId="1" applyAlignment="1" pivotButton="0" quotePrefix="0" xfId="0">
      <alignment horizontal="center"/>
    </xf>
    <xf numFmtId="0" fontId="5" fillId="0" borderId="0" pivotButton="0" quotePrefix="0" xfId="0"/>
    <xf numFmtId="0" fontId="6" fillId="4" borderId="1" applyAlignment="1" pivotButton="0" quotePrefix="0" xfId="0">
      <alignment horizontal="center"/>
    </xf>
    <xf numFmtId="0" fontId="4" fillId="3" borderId="1" applyAlignment="1" pivotButton="0" quotePrefix="0" xfId="0">
      <alignment horizontal="center" wrapText="1"/>
    </xf>
    <xf numFmtId="0" fontId="5" fillId="0" borderId="1" pivotButton="0" quotePrefix="0" xfId="0"/>
    <xf numFmtId="0" fontId="3" fillId="0" borderId="1" pivotButton="0" quotePrefix="0" xfId="0"/>
    <xf numFmtId="0" fontId="5" fillId="0" borderId="1" applyAlignment="1" pivotButton="0" quotePrefix="0" xfId="0">
      <alignment vertical="top" wrapText="1"/>
    </xf>
    <xf numFmtId="0" fontId="6" fillId="0" borderId="1" pivotButton="0" quotePrefix="0" xfId="0"/>
    <xf numFmtId="0" fontId="8" fillId="0" borderId="1" pivotButton="0" quotePrefix="0" xfId="0"/>
    <xf numFmtId="0" fontId="11" fillId="0" borderId="1"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1"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3" fillId="0" borderId="1" applyAlignment="1" pivotButton="0" quotePrefix="0" xfId="0">
      <alignment horizontal="center"/>
    </xf>
    <xf numFmtId="0" fontId="5" fillId="0" borderId="1" applyAlignment="1" pivotButton="0" quotePrefix="0" xfId="0">
      <alignment vertical="top"/>
    </xf>
    <xf numFmtId="0" fontId="5" fillId="4" borderId="1" applyAlignment="1" pivotButton="0" quotePrefix="0" xfId="0">
      <alignment vertical="top"/>
    </xf>
    <xf numFmtId="0" fontId="6" fillId="5" borderId="0" pivotButton="0" quotePrefix="0" xfId="0"/>
    <xf numFmtId="0" fontId="8" fillId="6" borderId="0" pivotButton="0" quotePrefix="0" xfId="0"/>
    <xf numFmtId="0" fontId="5" fillId="4" borderId="1" applyAlignment="1" pivotButton="0" quotePrefix="0" xfId="0">
      <alignment vertical="top" wrapText="1"/>
    </xf>
    <xf numFmtId="164" fontId="5" fillId="4" borderId="1" applyAlignment="1" pivotButton="0" quotePrefix="0" xfId="0">
      <alignment vertical="top"/>
    </xf>
    <xf numFmtId="1" fontId="5" fillId="4" borderId="1" applyAlignment="1" pivotButton="0" quotePrefix="0" xfId="0">
      <alignment vertical="top"/>
    </xf>
    <xf numFmtId="164" fontId="5" fillId="0" borderId="1" applyAlignment="1" pivotButton="0" quotePrefix="0" xfId="0">
      <alignment vertical="top"/>
    </xf>
    <xf numFmtId="9" fontId="5" fillId="4" borderId="1" applyAlignment="1" pivotButton="0" quotePrefix="0" xfId="0">
      <alignment vertical="top"/>
    </xf>
    <xf numFmtId="165" fontId="5"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26" customWidth="1" min="1" max="1"/>
    <col width="30" customWidth="1" min="2" max="2"/>
    <col width="16" customWidth="1" min="3" max="3"/>
    <col width="12" customWidth="1" min="4" max="4"/>
    <col width="60" customWidth="1" min="5" max="5"/>
  </cols>
  <sheetData>
    <row r="1">
      <c r="A1" s="1" t="inlineStr">
        <is>
          <t>EJ Learning — системд хэрэгтэй өгөгдлийн бүтэц</t>
        </is>
      </c>
    </row>
    <row r="2" ht="56" customHeight="1">
      <c r="A2" s="2" t="inlineStr">
        <is>
          <t>Хуудас бүр нь өгөгдлийн сангийн нэг хүснэгт. Аль хэдийн орсон өгөгдлийг цагаан дэвсгэртэй «БОДИТ» мөрөөр, ороогүй хэсгийг шар дэвсгэртэй «ЖИШЭЭ» мөрөөр үзүүлэв. Жишээ мөрүүд зохиомол боловч 6а ангийн бодит ном, бодит сэдэв, бодит багш нарын нэр дээр тулгуурласан — яг ямар өгөгдөл хэрэгтэйг харуулах зорилготой.</t>
        </is>
      </c>
    </row>
    <row r="4">
      <c r="A4" s="3" t="inlineStr">
        <is>
          <t>Тэмдэглэгээ</t>
        </is>
      </c>
    </row>
    <row r="5">
      <c r="A5" s="4" t="inlineStr">
        <is>
          <t>БОДИТ</t>
        </is>
      </c>
      <c r="B5" s="5" t="inlineStr">
        <is>
          <t>Баазад орсон жинхэнэ өгөгдөл. Өөрчлөх шаардлагагүй.</t>
        </is>
      </c>
    </row>
    <row r="6">
      <c r="A6" s="6" t="inlineStr">
        <is>
          <t>ЖИШЭЭ</t>
        </is>
      </c>
      <c r="B6" s="5" t="inlineStr">
        <is>
          <t>Зохиомол мөр. Ямар өгөгдөл ямар хэлбэртэй байхыг харуулна.</t>
        </is>
      </c>
    </row>
    <row r="8">
      <c r="A8" s="3" t="inlineStr">
        <is>
          <t>Хуудсуудын байдал</t>
        </is>
      </c>
    </row>
    <row r="9">
      <c r="A9" s="7" t="inlineStr">
        <is>
          <t>Хуудас</t>
        </is>
      </c>
      <c r="B9" s="7" t="inlineStr">
        <is>
          <t>Агуулга</t>
        </is>
      </c>
      <c r="C9" s="7" t="inlineStr">
        <is>
          <t>Байдал</t>
        </is>
      </c>
      <c r="D9" s="7" t="inlineStr">
        <is>
          <t>Мөрийн тоо</t>
        </is>
      </c>
      <c r="E9" s="7" t="inlineStr">
        <is>
          <t>Танаас юу хэрэгтэй вэ</t>
        </is>
      </c>
    </row>
    <row r="10">
      <c r="A10" s="8" t="inlineStr">
        <is>
          <t>02 Хичээл</t>
        </is>
      </c>
      <c r="B10" s="8" t="inlineStr">
        <is>
          <t>Хичээлийн жагсаалт</t>
        </is>
      </c>
      <c r="C10" s="9" t="inlineStr">
        <is>
          <t>Бүрэн</t>
        </is>
      </c>
      <c r="D10" s="8">
        <f>COUNTA('02 Хичээл'!$A$6:$A$17)</f>
        <v/>
      </c>
      <c r="E10" s="10" t="inlineStr">
        <is>
          <t>Байхгүй</t>
        </is>
      </c>
    </row>
    <row r="11">
      <c r="A11" s="8" t="inlineStr">
        <is>
          <t>03 Анги</t>
        </is>
      </c>
      <c r="B11" s="8" t="inlineStr">
        <is>
          <t>14 анги</t>
        </is>
      </c>
      <c r="C11" s="11" t="inlineStr">
        <is>
          <t>Бараг бүрэн</t>
        </is>
      </c>
      <c r="D11" s="8">
        <f>COUNTA('03 Анги'!$A$6:$A$19)</f>
        <v/>
      </c>
      <c r="E11" s="10" t="inlineStr">
        <is>
          <t>Анги бүрийн удирдсан багш (АУБ)</t>
        </is>
      </c>
    </row>
    <row r="12">
      <c r="A12" s="8" t="inlineStr">
        <is>
          <t>04 Багш</t>
        </is>
      </c>
      <c r="B12" s="8" t="inlineStr">
        <is>
          <t>24 багш</t>
        </is>
      </c>
      <c r="C12" s="11" t="inlineStr">
        <is>
          <t>Бараг бүрэн</t>
        </is>
      </c>
      <c r="D12" s="8">
        <f>COUNTA('04 Багш'!$A$6:$A$29)</f>
        <v/>
      </c>
      <c r="E12" s="10" t="inlineStr">
        <is>
          <t>Багш бүрийн үндсэн хичээл</t>
        </is>
      </c>
    </row>
    <row r="13">
      <c r="A13" s="8" t="inlineStr">
        <is>
          <t>05 Багш-анги-хичээл</t>
        </is>
      </c>
      <c r="B13" s="8" t="inlineStr">
        <is>
          <t>Хэн юу заадаг</t>
        </is>
      </c>
      <c r="C13" s="12" t="inlineStr">
        <is>
          <t>ХООСОН</t>
        </is>
      </c>
      <c r="D13" s="8">
        <f>COUNTA('05 Багш-анги-хичээл'!$A$6:$A$16)</f>
        <v/>
      </c>
      <c r="E13" s="13" t="inlineStr">
        <is>
          <t>★ Багш бүр аль ангид ямар хичээл заадаг</t>
        </is>
      </c>
    </row>
    <row r="14">
      <c r="A14" s="8" t="inlineStr">
        <is>
          <t>06 Сурагч</t>
        </is>
      </c>
      <c r="B14" s="8" t="inlineStr">
        <is>
          <t>247 сурагч</t>
        </is>
      </c>
      <c r="C14" s="9" t="inlineStr">
        <is>
          <t>Бүрэн</t>
        </is>
      </c>
      <c r="D14" s="8">
        <f>COUNTA('06 Сурагч'!$A$6:$A$252)</f>
        <v/>
      </c>
      <c r="E14" s="10" t="inlineStr">
        <is>
          <t>Байхгүй</t>
        </is>
      </c>
    </row>
    <row r="15">
      <c r="A15" s="8" t="inlineStr">
        <is>
          <t>07 Ном</t>
        </is>
      </c>
      <c r="B15" s="8" t="inlineStr">
        <is>
          <t>6-р ангийн 11 ном</t>
        </is>
      </c>
      <c r="C15" s="9" t="inlineStr">
        <is>
          <t>Бүрэн</t>
        </is>
      </c>
      <c r="D15" s="8">
        <f>COUNTA('07 Ном'!$A$6:$A$16)</f>
        <v/>
      </c>
      <c r="E15" s="10" t="inlineStr">
        <is>
          <t>Бусад ангиудын сурах бичиг</t>
        </is>
      </c>
    </row>
    <row r="16">
      <c r="A16" s="8" t="inlineStr">
        <is>
          <t>08 Анги-хичээл-ном</t>
        </is>
      </c>
      <c r="B16" s="8" t="inlineStr">
        <is>
          <t>Анги ямар хичээл үздэг</t>
        </is>
      </c>
      <c r="C16" s="11" t="inlineStr">
        <is>
          <t>Хэсэгчилсэн</t>
        </is>
      </c>
      <c r="D16" s="8">
        <f>COUNTA('08 Анги-хичээл-ном'!$A$6:$A$124)</f>
        <v/>
      </c>
      <c r="E16" s="10" t="inlineStr">
        <is>
          <t>13 ангийн жагсаалтыг батлах</t>
        </is>
      </c>
    </row>
    <row r="17">
      <c r="A17" s="8" t="inlineStr">
        <is>
          <t>09 Номын сэдэв</t>
        </is>
      </c>
      <c r="B17" s="8" t="inlineStr">
        <is>
          <t>Номын бүлэг, хуудас</t>
        </is>
      </c>
      <c r="C17" s="11" t="inlineStr">
        <is>
          <t>2/11 ном</t>
        </is>
      </c>
      <c r="D17" s="8">
        <f>COUNTA('09 Номын сэдэв'!$A$6:$A$108)</f>
        <v/>
      </c>
      <c r="E17" s="13" t="inlineStr">
        <is>
          <t>★ Үлдсэн 9 номын сэдвийн задаргаа</t>
        </is>
      </c>
    </row>
    <row r="18">
      <c r="A18" s="8" t="inlineStr">
        <is>
          <t>10 Улирал</t>
        </is>
      </c>
      <c r="B18" s="8" t="inlineStr">
        <is>
          <t>4 улирал</t>
        </is>
      </c>
      <c r="C18" s="11" t="inlineStr">
        <is>
          <t>Түр огноо</t>
        </is>
      </c>
      <c r="D18" s="8">
        <f>COUNTA('10 Улирал'!$A$6:$A$9)</f>
        <v/>
      </c>
      <c r="E18" s="13" t="inlineStr">
        <is>
          <t>★ Улирлын жинхэнэ огноо</t>
        </is>
      </c>
    </row>
    <row r="19">
      <c r="A19" s="8" t="inlineStr">
        <is>
          <t>11 Ангийн одоогийн сэдэв</t>
        </is>
      </c>
      <c r="B19" s="8" t="inlineStr">
        <is>
          <t>Анги хаана явж байна</t>
        </is>
      </c>
      <c r="C19" s="11" t="inlineStr">
        <is>
          <t>Эхэлсэн</t>
        </is>
      </c>
      <c r="D19" s="8">
        <f>COUNTA('11 Ангийн одоогийн сэдэв'!$A$6:$A$8)</f>
        <v/>
      </c>
      <c r="E19" s="10" t="inlineStr">
        <is>
          <t>Багш нар өөрсдөө тэмдэглэнэ</t>
        </is>
      </c>
    </row>
    <row r="20">
      <c r="A20" s="8" t="inlineStr">
        <is>
          <t>12 Хичээлийн хуваарь</t>
        </is>
      </c>
      <c r="B20" s="8" t="inlineStr">
        <is>
          <t>Долоо хоногийн хуваарь</t>
        </is>
      </c>
      <c r="C20" s="12" t="inlineStr">
        <is>
          <t>ХООСОН</t>
        </is>
      </c>
      <c r="D20" s="8">
        <f>COUNTA('12 Хичээлийн хуваарь'!$A$6:$A$17)</f>
        <v/>
      </c>
      <c r="E20" s="13" t="inlineStr">
        <is>
          <t>★ Анги бүрийн хуваарь</t>
        </is>
      </c>
    </row>
    <row r="21">
      <c r="A21" s="8" t="inlineStr">
        <is>
          <t>13 Хичээлийн агуулга</t>
        </is>
      </c>
      <c r="B21" s="8" t="inlineStr">
        <is>
          <t>Хичээлийн бичвэр</t>
        </is>
      </c>
      <c r="C21" s="12" t="inlineStr">
        <is>
          <t>ХООСОН</t>
        </is>
      </c>
      <c r="D21" s="8">
        <f>COUNTA('13 Хичээлийн агуулга'!$A$6:$A$8)</f>
        <v/>
      </c>
      <c r="E21" s="10" t="inlineStr">
        <is>
          <t>Хичээл бүрийн зорилт, тайлбар, дасгал</t>
        </is>
      </c>
    </row>
    <row r="22">
      <c r="A22" s="8" t="inlineStr">
        <is>
          <t>14 Чадвар</t>
        </is>
      </c>
      <c r="B22" s="8" t="inlineStr">
        <is>
          <t>Сурагч юу чаддаг болох ёстой</t>
        </is>
      </c>
      <c r="C22" s="12" t="inlineStr">
        <is>
          <t>ХООСОН</t>
        </is>
      </c>
      <c r="D22" s="8">
        <f>COUNTA('14 Чадвар'!$A$6:$A$11)</f>
        <v/>
      </c>
      <c r="E22" s="13" t="inlineStr">
        <is>
          <t>★ Хичээл бүрийн чадварын жагсаалт</t>
        </is>
      </c>
    </row>
    <row r="23">
      <c r="A23" s="8" t="inlineStr">
        <is>
          <t>15 Чадварын урьдач нөхцөл</t>
        </is>
      </c>
      <c r="B23" s="8" t="inlineStr">
        <is>
          <t>Чадвар ↔ чадвар гинж</t>
        </is>
      </c>
      <c r="C23" s="12" t="inlineStr">
        <is>
          <t>ХООСОН</t>
        </is>
      </c>
      <c r="D23" s="8">
        <f>COUNTA('15 Чадварын урьдач нөхцөл'!$A$6:$A$9)</f>
        <v/>
      </c>
      <c r="E23" s="10" t="inlineStr">
        <is>
          <t>Аль чадварын өмнө юуг мэдэх ёстой</t>
        </is>
      </c>
    </row>
    <row r="24">
      <c r="A24" s="8" t="inlineStr">
        <is>
          <t>16 Сэдэв-чадвар-ном</t>
        </is>
      </c>
      <c r="B24" s="8" t="inlineStr">
        <is>
          <t>Чадвар ↔ номын сэдэв</t>
        </is>
      </c>
      <c r="C24" s="12" t="inlineStr">
        <is>
          <t>ХООСОН</t>
        </is>
      </c>
      <c r="D24" s="8">
        <f>COUNTA('16 Сэдэв-чадвар-ном'!$A$6:$A$11)</f>
        <v/>
      </c>
      <c r="E24" s="13" t="inlineStr">
        <is>
          <t>★ Чадварыг номын аль хэсгээр заадаг</t>
        </is>
      </c>
    </row>
    <row r="25">
      <c r="A25" s="8" t="inlineStr">
        <is>
          <t>17 Асуултын сан</t>
        </is>
      </c>
      <c r="B25" s="8" t="inlineStr">
        <is>
          <t>Асуулт → чадвар + сэдэв</t>
        </is>
      </c>
      <c r="C25" s="12" t="inlineStr">
        <is>
          <t>ХООСОН</t>
        </is>
      </c>
      <c r="D25" s="8">
        <f>COUNTA('17 Асуултын сан'!$A$6:$A$11)</f>
        <v/>
      </c>
      <c r="E25" s="13" t="inlineStr">
        <is>
          <t>★ Асуулт бүр, түүний чадвар ба номын сэдэв</t>
        </is>
      </c>
    </row>
    <row r="26">
      <c r="A26" s="8" t="inlineStr">
        <is>
          <t>18 Асуултын сонголт</t>
        </is>
      </c>
      <c r="B26" s="8" t="inlineStr">
        <is>
          <t>Сонголттой хариулт</t>
        </is>
      </c>
      <c r="C26" s="12" t="inlineStr">
        <is>
          <t>ХООСОН</t>
        </is>
      </c>
      <c r="D26" s="8">
        <f>COUNTA('18 Асуултын сонголт'!$A$6:$A$21)</f>
        <v/>
      </c>
      <c r="E26" s="10" t="inlineStr">
        <is>
          <t>Хувилбар бүр ба аль нь зөв</t>
        </is>
      </c>
    </row>
    <row r="27">
      <c r="A27" s="8" t="inlineStr">
        <is>
          <t>19 Дасгал даалгавар</t>
        </is>
      </c>
      <c r="B27" s="8" t="inlineStr">
        <is>
          <t>Чадвар эзэмшүүлэх дасгал</t>
        </is>
      </c>
      <c r="C27" s="12" t="inlineStr">
        <is>
          <t>ХООСОН</t>
        </is>
      </c>
      <c r="D27" s="8">
        <f>COUNTA('19 Дасгал даалгавар'!$A$6:$A$9)</f>
        <v/>
      </c>
      <c r="E27" s="10" t="inlineStr">
        <is>
          <t>Түвшин бүрийн дасгал</t>
        </is>
      </c>
    </row>
    <row r="28">
      <c r="A28" s="8" t="inlineStr">
        <is>
          <t>20 Эзэмшилт шалгах</t>
        </is>
      </c>
      <c r="B28" s="8" t="inlineStr">
        <is>
          <t>Эзэмшсэн эсэхийг шийдэх</t>
        </is>
      </c>
      <c r="C28" s="12" t="inlineStr">
        <is>
          <t>ХООСОН</t>
        </is>
      </c>
      <c r="D28" s="8">
        <f>COUNTA('20 Эзэмшилт шалгах'!$A$6:$A$8)</f>
        <v/>
      </c>
      <c r="E28" s="10" t="inlineStr">
        <is>
          <t>Тэнцэх дүрэм ба дараагийн алхам</t>
        </is>
      </c>
    </row>
    <row r="29">
      <c r="A29" s="8" t="inlineStr">
        <is>
          <t>21 Шалгалт</t>
        </is>
      </c>
      <c r="B29" s="8" t="inlineStr">
        <is>
          <t>Шалгалтын хуудас</t>
        </is>
      </c>
      <c r="C29" s="12" t="inlineStr">
        <is>
          <t>ХООСОН</t>
        </is>
      </c>
      <c r="D29" s="8">
        <f>COUNTA('21 Шалгалт'!$A$6:$A$10)</f>
        <v/>
      </c>
      <c r="E29" s="13" t="inlineStr">
        <is>
          <t>★ Хэзээ, хэнд, ямар төрлийн шалгалт</t>
        </is>
      </c>
    </row>
    <row r="30">
      <c r="A30" s="8" t="inlineStr">
        <is>
          <t>22 Шалгалтын асуултууд</t>
        </is>
      </c>
      <c r="B30" s="8" t="inlineStr">
        <is>
          <t>Шалгалт ↔ асуулт</t>
        </is>
      </c>
      <c r="C30" s="12" t="inlineStr">
        <is>
          <t>ХООСОН</t>
        </is>
      </c>
      <c r="D30" s="8">
        <f>COUNTA('22 Шалгалтын асуултууд'!$A$6:$A$15)</f>
        <v/>
      </c>
      <c r="E30" s="13" t="inlineStr">
        <is>
          <t>★ Шалгалт бүр ямар асуултаас бүрдэх</t>
        </is>
      </c>
    </row>
    <row r="31">
      <c r="A31" s="8" t="inlineStr">
        <is>
          <t>23 Шалгалтын дүн</t>
        </is>
      </c>
      <c r="B31" s="8" t="inlineStr">
        <is>
          <t>Нийт оноо</t>
        </is>
      </c>
      <c r="C31" s="12" t="inlineStr">
        <is>
          <t>ХООСОН</t>
        </is>
      </c>
      <c r="D31" s="8">
        <f>COUNTA('23 Шалгалтын дүн'!$A$6:$A$10)</f>
        <v/>
      </c>
      <c r="E31" s="10" t="inlineStr">
        <is>
          <t>Шалгалт болсны дараа</t>
        </is>
      </c>
    </row>
    <row r="32">
      <c r="A32" s="8" t="inlineStr">
        <is>
          <t>24 Асуултын хариулт</t>
        </is>
      </c>
      <c r="B32" s="8" t="inlineStr">
        <is>
          <t>Асуулт тус бүрийн хариулт</t>
        </is>
      </c>
      <c r="C32" s="12" t="inlineStr">
        <is>
          <t>ХООСОН</t>
        </is>
      </c>
      <c r="D32" s="8">
        <f>COUNTA('24 Асуултын хариулт'!$A$6:$A$12)</f>
        <v/>
      </c>
      <c r="E32" s="13" t="inlineStr">
        <is>
          <t>★ Үүнгүйгээр чадвар хэмжигдэхгүй</t>
        </is>
      </c>
    </row>
    <row r="33">
      <c r="A33" s="8" t="inlineStr">
        <is>
          <t>25 Чадварын түвшин</t>
        </is>
      </c>
      <c r="B33" s="8" t="inlineStr">
        <is>
          <t>Эцсийн үр дүн</t>
        </is>
      </c>
      <c r="C33" s="12" t="inlineStr">
        <is>
          <t>ХООСОН</t>
        </is>
      </c>
      <c r="D33" s="8">
        <f>COUNTA('25 Чадварын түвшин'!$A$6:$A$11)</f>
        <v/>
      </c>
      <c r="E33" s="10" t="inlineStr">
        <is>
          <t>Автоматаар тооцогдоно</t>
        </is>
      </c>
    </row>
    <row r="34">
      <c r="A34" s="8" t="inlineStr">
        <is>
          <t>26 Хувийн ажил</t>
        </is>
      </c>
      <c r="B34" s="8" t="inlineStr">
        <is>
          <t>Хувийн бэлтгэл</t>
        </is>
      </c>
      <c r="C34" s="12" t="inlineStr">
        <is>
          <t>ХООСОН</t>
        </is>
      </c>
      <c r="D34" s="8">
        <f>COUNTA('26 Хувийн ажил'!$A$6:$A$9)</f>
        <v/>
      </c>
      <c r="E34" s="10" t="inlineStr">
        <is>
          <t>Сурагч бүрд өгөх нэмэлт ажил</t>
        </is>
      </c>
    </row>
    <row r="36">
      <c r="A36" s="3" t="inlineStr">
        <is>
          <t>Юунаас эхлэх вэ</t>
        </is>
      </c>
    </row>
    <row r="37">
      <c r="A37" s="14" t="inlineStr">
        <is>
          <t>1. «04 Багш-анги-хичээл» — багш бүр аль ангид ямар хичээл заадгийг бөглөх. Үүнгүйгээр багшийн дэлгэц ажиллахгүй.</t>
        </is>
      </c>
    </row>
    <row r="38">
      <c r="A38" s="14" t="inlineStr">
        <is>
          <t>2. «10 Улирал» — 4 улирлын жинхэнэ огноо.</t>
        </is>
      </c>
    </row>
    <row r="39">
      <c r="A39" s="14" t="inlineStr">
        <is>
          <t>3. «09 Номын сэдэв» — үлдсэн 9 номын бүлэг, сэдэв, хуудас.</t>
        </is>
      </c>
    </row>
    <row r="40">
      <c r="A40" s="14" t="inlineStr">
        <is>
          <t>4. «14 Чадвар» → «16 Сэдэв-чадвар-ном» — чадварын жагсаалт, дараа нь номын сэдэвтэй холбох.</t>
        </is>
      </c>
    </row>
    <row r="41">
      <c r="A41" s="14" t="inlineStr">
        <is>
          <t>5. «17 Асуултын сан» + «18 Асуултын сонголт» — асуулт бүрийг чадвар ба сэдэвтэй нь холбож оруулах.</t>
        </is>
      </c>
    </row>
    <row r="42">
      <c r="A42" s="14" t="inlineStr">
        <is>
          <t>6. «12 Хичээлийн хуваарь», дараа нь «21 Шалгалт».</t>
        </is>
      </c>
    </row>
    <row r="44">
      <c r="A44" s="15" t="inlineStr">
        <is>
          <t>Эх сурвалж: ej_learning_local өгөгдлийн сан, 2026-09-22-ны байдлаар. Бодит мөрүүдийг баазаас шууд гаргасан; жишээ мөрүүдийг энэ файлд гар аргаар нэмсэн.</t>
        </is>
      </c>
    </row>
  </sheetData>
  <mergeCells count="11">
    <mergeCell ref="A39:E39"/>
    <mergeCell ref="A38:E38"/>
    <mergeCell ref="A2:E2"/>
    <mergeCell ref="A42:E42"/>
    <mergeCell ref="B6:E6"/>
    <mergeCell ref="A41:E41"/>
    <mergeCell ref="A1:E1"/>
    <mergeCell ref="A37:E37"/>
    <mergeCell ref="B5:E5"/>
    <mergeCell ref="A44:E44"/>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5" topLeftCell="A6" activePane="bottomLeft" state="frozen"/>
      <selection pane="bottomLeft" activeCell="A1" sqref="A1"/>
    </sheetView>
  </sheetViews>
  <sheetFormatPr baseColWidth="8" defaultRowHeight="15"/>
  <cols>
    <col width="10" customWidth="1" min="1" max="1"/>
    <col width="22" customWidth="1" min="2" max="2"/>
    <col width="24" customWidth="1" min="3" max="3"/>
    <col width="56" customWidth="1" min="4" max="4"/>
    <col width="24" customWidth="1" min="5" max="5"/>
    <col width="62" customWidth="1" min="6" max="6"/>
    <col width="10" customWidth="1" min="7" max="7"/>
  </cols>
  <sheetData>
    <row r="1">
      <c r="A1" s="16" t="inlineStr">
        <is>
          <t>Юу юутай холбогдох вэ</t>
        </is>
      </c>
    </row>
    <row r="2" ht="44" customHeight="1">
      <c r="A2" s="2" t="inlineStr">
        <is>
          <t>Асуулт нь ЧАДВАР болон НОМЫН СЭДЭВ ХОЁУЛАНД холбогдоно — тийм учраас нэг асуулт «энэ хүүхэд номын энэ хэсгийг ойлгов уу» болон «энэ чадварыг эзэмшив үү» гэсэн хоёр өөр асуултад хариулж чадна. Чадвар нь номд биш ХИЧЭЭЛД харьяалагдаж, номын сэдэвтэй агуулгын зангилаагаар дамжин холбогддог — ингэснээр ном солигдоход чадвар үлдэнэ.</t>
        </is>
      </c>
    </row>
    <row r="3">
      <c r="A3" s="17" t="inlineStr">
        <is>
          <t>БОДИТ ӨГӨГДӨЛ — баазад бүрэн орсон</t>
        </is>
      </c>
    </row>
    <row r="5" ht="32" customHeight="1">
      <c r="A5" s="18" t="inlineStr">
        <is>
          <t>Төлөв</t>
        </is>
      </c>
      <c r="B5" s="18" t="inlineStr">
        <is>
          <t>Юу</t>
        </is>
      </c>
      <c r="C5" s="18" t="inlineStr">
        <is>
          <t>→ Юутай</t>
        </is>
      </c>
      <c r="D5" s="18" t="inlineStr">
        <is>
          <t>Баазын талбар / хүснэгт</t>
        </is>
      </c>
      <c r="E5" s="18" t="inlineStr">
        <is>
          <t>Заавал эсэх</t>
        </is>
      </c>
      <c r="F5" s="18" t="inlineStr">
        <is>
          <t>Тайлбар</t>
        </is>
      </c>
      <c r="G5" s="18" t="inlineStr">
        <is>
          <t>Хуудас</t>
        </is>
      </c>
    </row>
    <row r="6">
      <c r="A6" s="19" t="inlineStr">
        <is>
          <t>БОДИТ</t>
        </is>
      </c>
      <c r="B6" s="20" t="inlineStr">
        <is>
          <t>Анги</t>
        </is>
      </c>
      <c r="C6" s="20" t="inlineStr">
        <is>
          <t>Хичээл + Ном</t>
        </is>
      </c>
      <c r="D6" s="20" t="inlineStr">
        <is>
          <t>class_subjects</t>
        </is>
      </c>
      <c r="E6" s="20" t="inlineStr">
        <is>
          <t>ЗААВАЛ</t>
        </is>
      </c>
      <c r="F6" s="10" t="inlineStr">
        <is>
          <t>Анги ямар хичээл үзэх, аль номоор. Ном нь хоосон байж болно.</t>
        </is>
      </c>
      <c r="G6" s="20" t="inlineStr">
        <is>
          <t>08</t>
        </is>
      </c>
    </row>
    <row r="7">
      <c r="A7" s="19" t="inlineStr">
        <is>
          <t>БОДИТ</t>
        </is>
      </c>
      <c r="B7" s="20" t="inlineStr">
        <is>
          <t>Анги</t>
        </is>
      </c>
      <c r="C7" s="20" t="inlineStr">
        <is>
          <t>Багш + Хичээл</t>
        </is>
      </c>
      <c r="D7" s="20" t="inlineStr">
        <is>
          <t>class_teachers</t>
        </is>
      </c>
      <c r="E7" s="20" t="inlineStr">
        <is>
          <t>ЗААВАЛ</t>
        </is>
      </c>
      <c r="F7" s="10" t="inlineStr">
        <is>
          <t>Хэн заадаг. Агуулгыг тодорхойлдоггүй — багш солигдоход агуулга үлдэнэ.</t>
        </is>
      </c>
      <c r="G7" s="20" t="inlineStr">
        <is>
          <t>05</t>
        </is>
      </c>
    </row>
    <row r="8">
      <c r="A8" s="19" t="inlineStr">
        <is>
          <t>БОДИТ</t>
        </is>
      </c>
      <c r="B8" s="20" t="inlineStr">
        <is>
          <t>Ном</t>
        </is>
      </c>
      <c r="C8" s="20" t="inlineStr">
        <is>
          <t>Номын сэдэв</t>
        </is>
      </c>
      <c r="D8" s="20" t="inlineStr">
        <is>
          <t>source_outline_nodes</t>
        </is>
      </c>
      <c r="E8" s="20" t="inlineStr">
        <is>
          <t>ЗААВАЛ</t>
        </is>
      </c>
      <c r="F8" s="20" t="inlineStr">
        <is>
          <t>Бүлэг, сэдэв, хуудас, аль улиралд үзэх.</t>
        </is>
      </c>
      <c r="G8" s="20" t="inlineStr">
        <is>
          <t>09</t>
        </is>
      </c>
    </row>
    <row r="9">
      <c r="A9" s="19" t="inlineStr">
        <is>
          <t>БОДИТ</t>
        </is>
      </c>
      <c r="B9" s="20" t="inlineStr">
        <is>
          <t>Анги</t>
        </is>
      </c>
      <c r="C9" s="20" t="inlineStr">
        <is>
          <t>Одоогийн сэдэв</t>
        </is>
      </c>
      <c r="D9" s="20" t="inlineStr">
        <is>
          <t>class_topics</t>
        </is>
      </c>
      <c r="E9" s="20" t="inlineStr">
        <is>
          <t>СОНГОХ</t>
        </is>
      </c>
      <c r="F9" s="10" t="inlineStr">
        <is>
          <t>Багш «одоо энд явж байна» гэж заана. Хуанлиас тооцогддоггүй.</t>
        </is>
      </c>
      <c r="G9" s="20" t="inlineStr">
        <is>
          <t>11</t>
        </is>
      </c>
    </row>
    <row r="10">
      <c r="A10" s="19" t="inlineStr">
        <is>
          <t>БОДИТ</t>
        </is>
      </c>
      <c r="B10" s="20" t="inlineStr">
        <is>
          <t>Чадвар</t>
        </is>
      </c>
      <c r="C10" s="20" t="inlineStr">
        <is>
          <t>Хичээл + Анги</t>
        </is>
      </c>
      <c r="D10" s="20" t="inlineStr">
        <is>
          <t>skills.subject_id, grade_level_id</t>
        </is>
      </c>
      <c r="E10" s="20" t="inlineStr">
        <is>
          <t>ЗААВАЛ</t>
        </is>
      </c>
      <c r="F10" s="10" t="inlineStr">
        <is>
          <t>Чадвар ХИЧЭЭЛД харьяалагдана, номд биш. Ном солигдоход чадвар үлдэнэ.</t>
        </is>
      </c>
      <c r="G10" s="20" t="inlineStr">
        <is>
          <t>14</t>
        </is>
      </c>
    </row>
    <row r="11">
      <c r="A11" s="19" t="inlineStr">
        <is>
          <t>БОДИТ</t>
        </is>
      </c>
      <c r="B11" s="20" t="inlineStr">
        <is>
          <t>Чадвар</t>
        </is>
      </c>
      <c r="C11" s="20" t="inlineStr">
        <is>
          <t>Англи хэлний түвшин</t>
        </is>
      </c>
      <c r="D11" s="20" t="inlineStr">
        <is>
          <t>skills.proficiency_level_id</t>
        </is>
      </c>
      <c r="E11" s="20" t="inlineStr">
        <is>
          <t>СОНГОХ</t>
        </is>
      </c>
      <c r="F11" s="10" t="inlineStr">
        <is>
          <t>Англи хэл дээр чадвар ангид биш CEFR түвшинд (A1–C2) наалддаг.</t>
        </is>
      </c>
      <c r="G11" s="20" t="inlineStr">
        <is>
          <t>14</t>
        </is>
      </c>
    </row>
    <row r="12">
      <c r="A12" s="19" t="inlineStr">
        <is>
          <t>БОДИТ</t>
        </is>
      </c>
      <c r="B12" s="20" t="inlineStr">
        <is>
          <t>Чадвар</t>
        </is>
      </c>
      <c r="C12" s="20" t="inlineStr">
        <is>
          <t>Урьдач чадвар</t>
        </is>
      </c>
      <c r="D12" s="20" t="inlineStr">
        <is>
          <t>skill_dependencies</t>
        </is>
      </c>
      <c r="E12" s="20" t="inlineStr">
        <is>
          <t>СОНГОХ</t>
        </is>
      </c>
      <c r="F12" s="10" t="inlineStr">
        <is>
          <t>Аль чадварыг эзэмшихийн өмнө юуг мэдэх ёстой. Нөхөх ажлыг энэ гинжээр олно.</t>
        </is>
      </c>
      <c r="G12" s="20" t="inlineStr">
        <is>
          <t>15</t>
        </is>
      </c>
    </row>
    <row r="13">
      <c r="A13" s="19" t="inlineStr">
        <is>
          <t>БОДИТ</t>
        </is>
      </c>
      <c r="B13" s="20" t="inlineStr">
        <is>
          <t>Чадвар</t>
        </is>
      </c>
      <c r="C13" s="20" t="inlineStr">
        <is>
          <t>Номын сэдэв</t>
        </is>
      </c>
      <c r="D13" s="10" t="inlineStr">
        <is>
          <t>content_nodes → content_skill_maps + content_source_alignments</t>
        </is>
      </c>
      <c r="E13" s="20" t="inlineStr">
        <is>
          <t>ЗААВАЛ</t>
        </is>
      </c>
      <c r="F13" s="10" t="inlineStr">
        <is>
          <t>Чадварыг номын аль хэсгээр заадаг. Шууд биш, агуулгын зангилаагаар дамжина.</t>
        </is>
      </c>
      <c r="G13" s="20" t="inlineStr">
        <is>
          <t>16</t>
        </is>
      </c>
    </row>
    <row r="14">
      <c r="A14" s="19" t="inlineStr">
        <is>
          <t>БОДИТ</t>
        </is>
      </c>
      <c r="B14" s="20" t="inlineStr">
        <is>
          <t>АСУУЛТ</t>
        </is>
      </c>
      <c r="C14" s="20" t="inlineStr">
        <is>
          <t>Чадвар</t>
        </is>
      </c>
      <c r="D14" s="20" t="inlineStr">
        <is>
          <t>diagnostic_items.skill_id</t>
        </is>
      </c>
      <c r="E14" s="20" t="inlineStr">
        <is>
          <t>СОНГОХ (гэхдээ шаардлагатай)</t>
        </is>
      </c>
      <c r="F14" s="10" t="inlineStr">
        <is>
          <t>Аль чадварыг хэмжиж байгаа. Байхгүй бол ахиц хэмжигдэхгүй.</t>
        </is>
      </c>
      <c r="G14" s="20" t="inlineStr">
        <is>
          <t>17</t>
        </is>
      </c>
    </row>
    <row r="15">
      <c r="A15" s="19" t="inlineStr">
        <is>
          <t>БОДИТ</t>
        </is>
      </c>
      <c r="B15" s="20" t="inlineStr">
        <is>
          <t>АСУУЛТ</t>
        </is>
      </c>
      <c r="C15" s="20" t="inlineStr">
        <is>
          <t>Номын сэдэв</t>
        </is>
      </c>
      <c r="D15" s="20" t="inlineStr">
        <is>
          <t>diagnostic_items.source_outline_node_id</t>
        </is>
      </c>
      <c r="E15" s="20" t="inlineStr">
        <is>
          <t>СОНГОХ</t>
        </is>
      </c>
      <c r="F15" s="10" t="inlineStr">
        <is>
          <t>Номын аль хэсгийн дараа асуух. Байхгүй бол чадварын БҮХ өдөр харагдана.</t>
        </is>
      </c>
      <c r="G15" s="20" t="inlineStr">
        <is>
          <t>17</t>
        </is>
      </c>
    </row>
    <row r="16">
      <c r="A16" s="19" t="inlineStr">
        <is>
          <t>БОДИТ</t>
        </is>
      </c>
      <c r="B16" s="20" t="inlineStr">
        <is>
          <t>Асуулт</t>
        </is>
      </c>
      <c r="C16" s="20" t="inlineStr">
        <is>
          <t>Хичээл + Анги</t>
        </is>
      </c>
      <c r="D16" s="10" t="inlineStr">
        <is>
          <t>diagnostic_items.subject_id, grade_level_id</t>
        </is>
      </c>
      <c r="E16" s="20" t="inlineStr">
        <is>
          <t>ЗААВАЛ</t>
        </is>
      </c>
      <c r="F16" s="20" t="inlineStr">
        <is>
          <t>Аль хичээл, ямар ангид зориулсан.</t>
        </is>
      </c>
      <c r="G16" s="20" t="inlineStr">
        <is>
          <t>17</t>
        </is>
      </c>
    </row>
    <row r="17">
      <c r="A17" s="19" t="inlineStr">
        <is>
          <t>БОДИТ</t>
        </is>
      </c>
      <c r="B17" s="20" t="inlineStr">
        <is>
          <t>Асуулт</t>
        </is>
      </c>
      <c r="C17" s="20" t="inlineStr">
        <is>
          <t>Сонголтууд</t>
        </is>
      </c>
      <c r="D17" s="20" t="inlineStr">
        <is>
          <t>diagnostic_item_options</t>
        </is>
      </c>
      <c r="E17" s="20" t="inlineStr">
        <is>
          <t>СОНГОХ</t>
        </is>
      </c>
      <c r="F17" s="10" t="inlineStr">
        <is>
          <t>Сонголттой асуултад л байна. Нээлттэй асуулт багшийн үнэлгээгээр явна.</t>
        </is>
      </c>
      <c r="G17" s="20" t="inlineStr">
        <is>
          <t>18</t>
        </is>
      </c>
    </row>
    <row r="18">
      <c r="A18" s="19" t="inlineStr">
        <is>
          <t>БОДИТ</t>
        </is>
      </c>
      <c r="B18" s="20" t="inlineStr">
        <is>
          <t>Дасгал</t>
        </is>
      </c>
      <c r="C18" s="20" t="inlineStr">
        <is>
          <t>Чадвар</t>
        </is>
      </c>
      <c r="D18" s="20" t="inlineStr">
        <is>
          <t>tasks.skill_id</t>
        </is>
      </c>
      <c r="E18" s="20" t="inlineStr">
        <is>
          <t>ЗААВАЛ</t>
        </is>
      </c>
      <c r="F18" s="10" t="inlineStr">
        <is>
          <t>Аль чадварыг эзэмшүүлэх дасгал. Түвшин, хүндрэлээр эрэмбэлэгдэнэ.</t>
        </is>
      </c>
      <c r="G18" s="20" t="inlineStr">
        <is>
          <t>19</t>
        </is>
      </c>
    </row>
    <row r="19">
      <c r="A19" s="19" t="inlineStr">
        <is>
          <t>БОДИТ</t>
        </is>
      </c>
      <c r="B19" s="20" t="inlineStr">
        <is>
          <t>Эзэмшилт шалгах</t>
        </is>
      </c>
      <c r="C19" s="20" t="inlineStr">
        <is>
          <t>Чадвар</t>
        </is>
      </c>
      <c r="D19" s="20" t="inlineStr">
        <is>
          <t>mastery_checks.skill_id</t>
        </is>
      </c>
      <c r="E19" s="20" t="inlineStr">
        <is>
          <t>ЗААВАЛ</t>
        </is>
      </c>
      <c r="F19" s="10" t="inlineStr">
        <is>
          <t>Тэнцсэн/хагас/унасан тохиолдол бүрд юу хийхийг заана.</t>
        </is>
      </c>
      <c r="G19" s="20" t="inlineStr">
        <is>
          <t>20</t>
        </is>
      </c>
    </row>
    <row r="20">
      <c r="A20" s="19" t="inlineStr">
        <is>
          <t>БОДИТ</t>
        </is>
      </c>
      <c r="B20" s="20" t="inlineStr">
        <is>
          <t>Хичээлийн агуулга</t>
        </is>
      </c>
      <c r="C20" s="20" t="inlineStr">
        <is>
          <t>Чадвар + Ном</t>
        </is>
      </c>
      <c r="D20" s="10" t="inlineStr">
        <is>
          <t>daily_lessons.core_skill_id, source_material_id</t>
        </is>
      </c>
      <c r="E20" s="20" t="inlineStr">
        <is>
          <t>ЗААВАЛ</t>
        </is>
      </c>
      <c r="F20" s="10" t="inlineStr">
        <is>
          <t>Сурагчийн уншдаг агуулга аль чадварыг заах вэ.</t>
        </is>
      </c>
      <c r="G20" s="20" t="inlineStr">
        <is>
          <t>13</t>
        </is>
      </c>
    </row>
    <row r="21">
      <c r="A21" s="19" t="inlineStr">
        <is>
          <t>БОДИТ</t>
        </is>
      </c>
      <c r="B21" s="20" t="inlineStr">
        <is>
          <t>Шалгалт</t>
        </is>
      </c>
      <c r="C21" s="20" t="inlineStr">
        <is>
          <t>Хичээл + Анги</t>
        </is>
      </c>
      <c r="D21" s="20" t="inlineStr">
        <is>
          <t>exam_papers</t>
        </is>
      </c>
      <c r="E21" s="20" t="inlineStr">
        <is>
          <t>ЗААВАЛ</t>
        </is>
      </c>
      <c r="F21" s="10" t="inlineStr">
        <is>
          <t>Нэг шалгалт = нэг мөр. Ангийн код хоосон бол ангийн бүх анги өгнө.</t>
        </is>
      </c>
      <c r="G21" s="20" t="inlineStr">
        <is>
          <t>21</t>
        </is>
      </c>
    </row>
    <row r="22">
      <c r="A22" s="19" t="inlineStr">
        <is>
          <t>БОДИТ</t>
        </is>
      </c>
      <c r="B22" s="20" t="inlineStr">
        <is>
          <t>Шалгалт</t>
        </is>
      </c>
      <c r="C22" s="20" t="inlineStr">
        <is>
          <t>Асуултууд</t>
        </is>
      </c>
      <c r="D22" s="20" t="inlineStr">
        <is>
          <t>exam_paper_items</t>
        </is>
      </c>
      <c r="E22" s="20" t="inlineStr">
        <is>
          <t>ЗААВАЛ</t>
        </is>
      </c>
      <c r="F22" s="10" t="inlineStr">
        <is>
          <t>Ямар асуултаас, ямар дарааллаар. Нэг асуулт олон шалгалтад орж болно.</t>
        </is>
      </c>
      <c r="G22" s="20" t="inlineStr">
        <is>
          <t>22</t>
        </is>
      </c>
    </row>
    <row r="23">
      <c r="A23" s="19" t="inlineStr">
        <is>
          <t>БОДИТ</t>
        </is>
      </c>
      <c r="B23" s="20" t="inlineStr">
        <is>
          <t>Суулт</t>
        </is>
      </c>
      <c r="C23" s="20" t="inlineStr">
        <is>
          <t>Шалгалт</t>
        </is>
      </c>
      <c r="D23" s="20" t="inlineStr">
        <is>
          <t>diagnostic_attempts.exam_paper_id</t>
        </is>
      </c>
      <c r="E23" s="20" t="inlineStr">
        <is>
          <t>СОНГОХ</t>
        </is>
      </c>
      <c r="F23" s="10" t="inlineStr">
        <is>
          <t>Сурагч аль шалгалтыг өгсөн. Импортолсон хуучин түүхэнд хоосон.</t>
        </is>
      </c>
      <c r="G23" s="20" t="inlineStr">
        <is>
          <t>23</t>
        </is>
      </c>
    </row>
    <row r="24">
      <c r="A24" s="19" t="inlineStr">
        <is>
          <t>БОДИТ</t>
        </is>
      </c>
      <c r="B24" s="20" t="inlineStr">
        <is>
          <t>Хариулт</t>
        </is>
      </c>
      <c r="C24" s="20" t="inlineStr">
        <is>
          <t>Асуулт</t>
        </is>
      </c>
      <c r="D24" s="20" t="inlineStr">
        <is>
          <t>diagnostic_responses.diagnostic_item_id</t>
        </is>
      </c>
      <c r="E24" s="20" t="inlineStr">
        <is>
          <t>ЗААВАЛ</t>
        </is>
      </c>
      <c r="F24" s="10" t="inlineStr">
        <is>
          <t>Сурагч тухайн асуултад юу хариулсан, хэдэн оноо авсан.</t>
        </is>
      </c>
      <c r="G24" s="20" t="inlineStr">
        <is>
          <t>23</t>
        </is>
      </c>
    </row>
    <row r="25">
      <c r="A25" s="19" t="inlineStr">
        <is>
          <t>БОДИТ</t>
        </is>
      </c>
      <c r="B25" s="20" t="inlineStr">
        <is>
          <t>Чадварын түвшин</t>
        </is>
      </c>
      <c r="C25" s="20" t="inlineStr">
        <is>
          <t>Сурагч + Чадвар</t>
        </is>
      </c>
      <c r="D25" s="20" t="inlineStr">
        <is>
          <t>student_skill_mastery</t>
        </is>
      </c>
      <c r="E25" s="20" t="inlineStr">
        <is>
          <t>ЗААВАЛ</t>
        </is>
      </c>
      <c r="F25" s="10" t="inlineStr">
        <is>
          <t>Хариулт → асуулт → чадвар гинжээр АВТОМАТААР тооцогдоно.</t>
        </is>
      </c>
      <c r="G25" s="20" t="inlineStr">
        <is>
          <t>24</t>
        </is>
      </c>
    </row>
    <row r="26">
      <c r="A26" s="19" t="inlineStr">
        <is>
          <t>БОДИТ</t>
        </is>
      </c>
      <c r="B26" s="20" t="inlineStr">
        <is>
          <t>Хувийн ажил</t>
        </is>
      </c>
      <c r="C26" s="20" t="inlineStr">
        <is>
          <t>Сурагч + Хичээл</t>
        </is>
      </c>
      <c r="D26" s="20" t="inlineStr">
        <is>
          <t>student_assignments</t>
        </is>
      </c>
      <c r="E26" s="20" t="inlineStr">
        <is>
          <t>СОНГОХ</t>
        </is>
      </c>
      <c r="F26" s="10" t="inlineStr">
        <is>
          <t>Чадварын түвшнээс хамаарч оногдоно. Үндсэн номыг орлохгүй.</t>
        </is>
      </c>
      <c r="G26" s="20" t="inlineStr">
        <is>
          <t>25</t>
        </is>
      </c>
    </row>
    <row r="28" ht="30" customHeight="1">
      <c r="A28" s="15" t="inlineStr">
        <is>
          <t>6а Математикийн жишээг 14-24-р хуудсаар дагаж болно: чадвар MATH-6-03 → номын сэдэв II.4 (30-31 х.) → асуулт Q-M6-0301 → Батбаяр Мишээлийн хариулт → түүний чадварын түвшин.</t>
        </is>
      </c>
    </row>
  </sheetData>
  <autoFilter ref="A5:G26"/>
  <mergeCells count="4">
    <mergeCell ref="A3:G3"/>
    <mergeCell ref="A2:G2"/>
    <mergeCell ref="A1:G1"/>
    <mergeCell ref="A28:G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32" customWidth="1" min="3" max="3"/>
    <col width="18" customWidth="1" min="4" max="4"/>
    <col width="16" customWidth="1" min="5" max="5"/>
    <col width="36" customWidth="1" min="6" max="6"/>
  </cols>
  <sheetData>
    <row r="1">
      <c r="A1" s="16" t="inlineStr">
        <is>
          <t>Хичээлийн жагсаалт</t>
        </is>
      </c>
    </row>
    <row r="2" ht="44" customHeight="1">
      <c r="A2" s="2" t="inlineStr">
        <is>
          <t>Системд бүртгэлтэй хичээлүүд. Хичээл бүр код (MATH, MGL гэх мэт) болон монгол нэртэй. Бусад бүх хуудас хичээл рүү энэ кодоор заана.</t>
        </is>
      </c>
    </row>
    <row r="3">
      <c r="A3" s="17" t="inlineStr">
        <is>
          <t>БОДИТ ӨГӨГДӨЛ — баазад бүрэн орсон</t>
        </is>
      </c>
    </row>
    <row r="5" ht="32" customHeight="1">
      <c r="A5" s="18" t="inlineStr">
        <is>
          <t>Төлөв</t>
        </is>
      </c>
      <c r="B5" s="18" t="inlineStr">
        <is>
          <t>Хичээлийн код</t>
        </is>
      </c>
      <c r="C5" s="18" t="inlineStr">
        <is>
          <t>Хичээлийн нэр</t>
        </is>
      </c>
      <c r="D5" s="18" t="inlineStr">
        <is>
          <t>Хэдэн ангид заагдаж байгаа</t>
        </is>
      </c>
      <c r="E5" s="18" t="inlineStr">
        <is>
          <t>Тэдгээрээс номтой нь</t>
        </is>
      </c>
      <c r="F5" s="18" t="inlineStr">
        <is>
          <t>Тэмдэглэл</t>
        </is>
      </c>
    </row>
    <row r="6">
      <c r="A6" s="19" t="inlineStr">
        <is>
          <t>БОДИТ</t>
        </is>
      </c>
      <c r="B6" s="20" t="inlineStr">
        <is>
          <t>ART</t>
        </is>
      </c>
      <c r="C6" s="20" t="inlineStr">
        <is>
          <t>Дүрслэх урлаг</t>
        </is>
      </c>
      <c r="D6" s="20">
        <f>COUNTIF('08 Анги-хичээл-ном'!$C$6:$C$124,$B6)</f>
        <v/>
      </c>
      <c r="E6" s="20">
        <f>COUNTIFS('08 Анги-хичээл-ном'!$C$6:$C$124,$B6,'08 Анги-хичээл-ном'!$F$6:$F$124,"&lt;&gt;")</f>
        <v/>
      </c>
      <c r="F6" s="20" t="n"/>
    </row>
    <row r="7">
      <c r="A7" s="19" t="inlineStr">
        <is>
          <t>БОДИТ</t>
        </is>
      </c>
      <c r="B7" s="20" t="inlineStr">
        <is>
          <t>DTECH</t>
        </is>
      </c>
      <c r="C7" s="20" t="inlineStr">
        <is>
          <t>Дизайн технологи</t>
        </is>
      </c>
      <c r="D7" s="20">
        <f>COUNTIF('08 Анги-хичээл-ном'!$C$6:$C$124,$B7)</f>
        <v/>
      </c>
      <c r="E7" s="20">
        <f>COUNTIFS('08 Анги-хичээл-ном'!$C$6:$C$124,$B7,'08 Анги-хичээл-ном'!$F$6:$F$124,"&lt;&gt;")</f>
        <v/>
      </c>
      <c r="F7" s="20" t="n"/>
    </row>
    <row r="8">
      <c r="A8" s="19" t="inlineStr">
        <is>
          <t>БОДИТ</t>
        </is>
      </c>
      <c r="B8" s="20" t="inlineStr">
        <is>
          <t>ENG</t>
        </is>
      </c>
      <c r="C8" s="20" t="inlineStr">
        <is>
          <t>Англи хэл</t>
        </is>
      </c>
      <c r="D8" s="20">
        <f>COUNTIF('08 Анги-хичээл-ном'!$C$6:$C$124,$B8)</f>
        <v/>
      </c>
      <c r="E8" s="20">
        <f>COUNTIFS('08 Анги-хичээл-ном'!$C$6:$C$124,$B8,'08 Анги-хичээл-ном'!$F$6:$F$124,"&lt;&gt;")</f>
        <v/>
      </c>
      <c r="F8" s="20" t="n"/>
    </row>
    <row r="9">
      <c r="A9" s="19" t="inlineStr">
        <is>
          <t>БОДИТ</t>
        </is>
      </c>
      <c r="B9" s="20" t="inlineStr">
        <is>
          <t>ETHICS</t>
        </is>
      </c>
      <c r="C9" s="20" t="inlineStr">
        <is>
          <t>Иргэний ёс зүйн боловсрол</t>
        </is>
      </c>
      <c r="D9" s="20">
        <f>COUNTIF('08 Анги-хичээл-ном'!$C$6:$C$124,$B9)</f>
        <v/>
      </c>
      <c r="E9" s="20">
        <f>COUNTIFS('08 Анги-хичээл-ном'!$C$6:$C$124,$B9,'08 Анги-хичээл-ном'!$F$6:$F$124,"&lt;&gt;")</f>
        <v/>
      </c>
      <c r="F9" s="20" t="n"/>
    </row>
    <row r="10">
      <c r="A10" s="19" t="inlineStr">
        <is>
          <t>БОДИТ</t>
        </is>
      </c>
      <c r="B10" s="20" t="inlineStr">
        <is>
          <t>HIST</t>
        </is>
      </c>
      <c r="C10" s="20" t="inlineStr">
        <is>
          <t>Түүх</t>
        </is>
      </c>
      <c r="D10" s="20">
        <f>COUNTIF('08 Анги-хичээл-ном'!$C$6:$C$124,$B10)</f>
        <v/>
      </c>
      <c r="E10" s="20">
        <f>COUNTIFS('08 Анги-хичээл-ном'!$C$6:$C$124,$B10,'08 Анги-хичээл-ном'!$F$6:$F$124,"&lt;&gt;")</f>
        <v/>
      </c>
      <c r="F10" s="20" t="n"/>
    </row>
    <row r="11">
      <c r="A11" s="19" t="inlineStr">
        <is>
          <t>БОДИТ</t>
        </is>
      </c>
      <c r="B11" s="20" t="inlineStr">
        <is>
          <t>ICT</t>
        </is>
      </c>
      <c r="C11" s="20" t="inlineStr">
        <is>
          <t>Мэдээллийн технологи</t>
        </is>
      </c>
      <c r="D11" s="20">
        <f>COUNTIF('08 Анги-хичээл-ном'!$C$6:$C$124,$B11)</f>
        <v/>
      </c>
      <c r="E11" s="20">
        <f>COUNTIFS('08 Анги-хичээл-ном'!$C$6:$C$124,$B11,'08 Анги-хичээл-ном'!$F$6:$F$124,"&lt;&gt;")</f>
        <v/>
      </c>
      <c r="F11" s="20" t="n"/>
    </row>
    <row r="12">
      <c r="A12" s="19" t="inlineStr">
        <is>
          <t>БОДИТ</t>
        </is>
      </c>
      <c r="B12" s="20" t="inlineStr">
        <is>
          <t>LIT</t>
        </is>
      </c>
      <c r="C12" s="20" t="inlineStr">
        <is>
          <t>Уран зохиол</t>
        </is>
      </c>
      <c r="D12" s="20">
        <f>COUNTIF('08 Анги-хичээл-ном'!$C$6:$C$124,$B12)</f>
        <v/>
      </c>
      <c r="E12" s="20">
        <f>COUNTIFS('08 Анги-хичээл-ном'!$C$6:$C$124,$B12,'08 Анги-хичээл-ном'!$F$6:$F$124,"&lt;&gt;")</f>
        <v/>
      </c>
      <c r="F12" s="20" t="n"/>
    </row>
    <row r="13">
      <c r="A13" s="19" t="inlineStr">
        <is>
          <t>БОДИТ</t>
        </is>
      </c>
      <c r="B13" s="20" t="inlineStr">
        <is>
          <t>MATH</t>
        </is>
      </c>
      <c r="C13" s="20" t="inlineStr">
        <is>
          <t>Математик</t>
        </is>
      </c>
      <c r="D13" s="20">
        <f>COUNTIF('08 Анги-хичээл-ном'!$C$6:$C$124,$B13)</f>
        <v/>
      </c>
      <c r="E13" s="20">
        <f>COUNTIFS('08 Анги-хичээл-ном'!$C$6:$C$124,$B13,'08 Анги-хичээл-ном'!$F$6:$F$124,"&lt;&gt;")</f>
        <v/>
      </c>
      <c r="F13" s="20" t="n"/>
    </row>
    <row r="14">
      <c r="A14" s="19" t="inlineStr">
        <is>
          <t>БОДИТ</t>
        </is>
      </c>
      <c r="B14" s="20" t="inlineStr">
        <is>
          <t>MGL</t>
        </is>
      </c>
      <c r="C14" s="20" t="inlineStr">
        <is>
          <t>Монгол хэл</t>
        </is>
      </c>
      <c r="D14" s="20">
        <f>COUNTIF('08 Анги-хичээл-ном'!$C$6:$C$124,$B14)</f>
        <v/>
      </c>
      <c r="E14" s="20">
        <f>COUNTIFS('08 Анги-хичээл-ном'!$C$6:$C$124,$B14,'08 Анги-хичээл-ном'!$F$6:$F$124,"&lt;&gt;")</f>
        <v/>
      </c>
      <c r="F14" s="20" t="n"/>
    </row>
    <row r="15">
      <c r="A15" s="6" t="inlineStr">
        <is>
          <t>ЖИШЭЭ</t>
        </is>
      </c>
      <c r="B15" s="21" t="inlineStr">
        <is>
          <t>PHYS</t>
        </is>
      </c>
      <c r="C15" s="21" t="inlineStr">
        <is>
          <t>Физик — local demo</t>
        </is>
      </c>
      <c r="D15" s="21">
        <f>COUNTIF('08 Анги-хичээл-ном'!$C$6:$C$124,$B15)</f>
        <v/>
      </c>
      <c r="E15" s="21">
        <f>COUNTIFS('08 Анги-хичээл-ном'!$C$6:$C$124,$B15,'08 Анги-хичээл-ном'!$F$6:$F$124,"&lt;&gt;")</f>
        <v/>
      </c>
      <c r="F15" s="21" t="inlineStr">
        <is>
          <t>Хөгжүүлэлтийн туршилтын мөр — устгана</t>
        </is>
      </c>
    </row>
    <row r="16">
      <c r="A16" s="19" t="inlineStr">
        <is>
          <t>БОДИТ</t>
        </is>
      </c>
      <c r="B16" s="20" t="inlineStr">
        <is>
          <t>SCI</t>
        </is>
      </c>
      <c r="C16" s="20" t="inlineStr">
        <is>
          <t>Байгалийн ухаан</t>
        </is>
      </c>
      <c r="D16" s="20">
        <f>COUNTIF('08 Анги-хичээл-ном'!$C$6:$C$124,$B16)</f>
        <v/>
      </c>
      <c r="E16" s="20">
        <f>COUNTIFS('08 Анги-хичээл-ном'!$C$6:$C$124,$B16,'08 Анги-хичээл-ном'!$F$6:$F$124,"&lt;&gt;")</f>
        <v/>
      </c>
      <c r="F16" s="20" t="n"/>
    </row>
    <row r="17">
      <c r="A17" s="19" t="inlineStr">
        <is>
          <t>БОДИТ</t>
        </is>
      </c>
      <c r="B17" s="20" t="inlineStr">
        <is>
          <t>SCRIPT</t>
        </is>
      </c>
      <c r="C17" s="20" t="inlineStr">
        <is>
          <t>Үндэсний бичиг</t>
        </is>
      </c>
      <c r="D17" s="20">
        <f>COUNTIF('08 Анги-хичээл-ном'!$C$6:$C$124,$B17)</f>
        <v/>
      </c>
      <c r="E17" s="20">
        <f>COUNTIFS('08 Анги-хичээл-ном'!$C$6:$C$124,$B17,'08 Анги-хичээл-ном'!$F$6:$F$124,"&lt;&gt;")</f>
        <v/>
      </c>
      <c r="F17" s="20" t="n"/>
    </row>
    <row r="19" ht="30" customHeight="1">
      <c r="A19" s="15" t="inlineStr">
        <is>
          <t>«Физик — local demo» нь хөгжүүлэлтийн туршилтын мөр, бодит хичээл биш.</t>
        </is>
      </c>
    </row>
  </sheetData>
  <autoFilter ref="A5:F17"/>
  <mergeCells count="4">
    <mergeCell ref="A3:F3"/>
    <mergeCell ref="A2:F2"/>
    <mergeCell ref="A19:F1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2" customWidth="1" min="3" max="3"/>
    <col width="8" customWidth="1" min="4" max="4"/>
    <col width="16" customWidth="1" min="5" max="5"/>
    <col width="14" customWidth="1" min="6" max="6"/>
    <col width="30" customWidth="1" min="7" max="7"/>
    <col width="26" customWidth="1" min="8" max="8"/>
  </cols>
  <sheetData>
    <row r="1">
      <c r="A1" s="16" t="inlineStr">
        <is>
          <t>Ангиуд</t>
        </is>
      </c>
    </row>
    <row r="2" ht="44" customHeight="1">
      <c r="A2" s="2" t="inlineStr">
        <is>
          <t>2026-2027 оны хичээлийн жилийн бүх анги. Сурагчийн тоо «05 Сурагч» хуудаснаас автоматаар тоологдоно. Ангийн удирдсан багш (АУБ) баазад хоосон — шар нүд нь жишээ.</t>
        </is>
      </c>
    </row>
    <row r="3">
      <c r="A3" s="22" t="inlineStr">
        <is>
          <t>ЗАРИМ НЬ ОРСОН — дутууг нөхөх шаардлагатай</t>
        </is>
      </c>
    </row>
    <row r="5" ht="32" customHeight="1">
      <c r="A5" s="18" t="inlineStr">
        <is>
          <t>Төлөв</t>
        </is>
      </c>
      <c r="B5" s="18" t="inlineStr">
        <is>
          <t>Ангийн код</t>
        </is>
      </c>
      <c r="C5" s="18" t="inlineStr">
        <is>
          <t>Ангийн нэр</t>
        </is>
      </c>
      <c r="D5" s="18" t="inlineStr">
        <is>
          <t>Анги</t>
        </is>
      </c>
      <c r="E5" s="18" t="inlineStr">
        <is>
          <t>Хичээлийн жил</t>
        </is>
      </c>
      <c r="F5" s="18" t="inlineStr">
        <is>
          <t>Сурагчийн тоо</t>
        </is>
      </c>
      <c r="G5" s="18" t="inlineStr">
        <is>
          <t>Ангийн удирдсан багш (АУБ)</t>
        </is>
      </c>
      <c r="H5" s="18" t="inlineStr">
        <is>
          <t>Тэмдэглэл</t>
        </is>
      </c>
    </row>
    <row r="6">
      <c r="A6" s="19" t="inlineStr">
        <is>
          <t>БОДИТ</t>
        </is>
      </c>
      <c r="B6" s="20" t="inlineStr">
        <is>
          <t>EJ-2627-1A</t>
        </is>
      </c>
      <c r="C6" s="20" t="inlineStr">
        <is>
          <t>1а</t>
        </is>
      </c>
      <c r="D6" s="20" t="n">
        <v>1</v>
      </c>
      <c r="E6" s="20" t="inlineStr">
        <is>
          <t>2026-2027</t>
        </is>
      </c>
      <c r="F6" s="20">
        <f>COUNTIF('06 Сурагч'!$D$6:$D$252,$B6)</f>
        <v/>
      </c>
      <c r="G6" s="21" t="inlineStr">
        <is>
          <t>Д.Дэлгэрмаа (EJ-2627-T009)</t>
        </is>
      </c>
      <c r="H6" s="20" t="inlineStr">
        <is>
          <t>АУБ-г жишээгээр харуулав</t>
        </is>
      </c>
    </row>
    <row r="7">
      <c r="A7" s="19" t="inlineStr">
        <is>
          <t>БОДИТ</t>
        </is>
      </c>
      <c r="B7" s="20" t="inlineStr">
        <is>
          <t>EJ-2627-2A</t>
        </is>
      </c>
      <c r="C7" s="20" t="inlineStr">
        <is>
          <t>2а</t>
        </is>
      </c>
      <c r="D7" s="20" t="n">
        <v>2</v>
      </c>
      <c r="E7" s="20" t="inlineStr">
        <is>
          <t>2026-2027</t>
        </is>
      </c>
      <c r="F7" s="20">
        <f>COUNTIF('06 Сурагч'!$D$6:$D$252,$B7)</f>
        <v/>
      </c>
      <c r="G7" s="20" t="n"/>
      <c r="H7" s="20" t="inlineStr">
        <is>
          <t>АУБ бөглөөгүй</t>
        </is>
      </c>
    </row>
    <row r="8">
      <c r="A8" s="19" t="inlineStr">
        <is>
          <t>БОДИТ</t>
        </is>
      </c>
      <c r="B8" s="20" t="inlineStr">
        <is>
          <t>EJ-2627-3A</t>
        </is>
      </c>
      <c r="C8" s="20" t="inlineStr">
        <is>
          <t>3а</t>
        </is>
      </c>
      <c r="D8" s="20" t="n">
        <v>3</v>
      </c>
      <c r="E8" s="20" t="inlineStr">
        <is>
          <t>2026-2027</t>
        </is>
      </c>
      <c r="F8" s="20">
        <f>COUNTIF('06 Сурагч'!$D$6:$D$252,$B8)</f>
        <v/>
      </c>
      <c r="G8" s="20" t="n"/>
      <c r="H8" s="20" t="inlineStr">
        <is>
          <t>АУБ бөглөөгүй</t>
        </is>
      </c>
    </row>
    <row r="9">
      <c r="A9" s="19" t="inlineStr">
        <is>
          <t>БОДИТ</t>
        </is>
      </c>
      <c r="B9" s="20" t="inlineStr">
        <is>
          <t>EJ-2627-4A</t>
        </is>
      </c>
      <c r="C9" s="20" t="inlineStr">
        <is>
          <t>4а</t>
        </is>
      </c>
      <c r="D9" s="20" t="n">
        <v>4</v>
      </c>
      <c r="E9" s="20" t="inlineStr">
        <is>
          <t>2026-2027</t>
        </is>
      </c>
      <c r="F9" s="20">
        <f>COUNTIF('06 Сурагч'!$D$6:$D$252,$B9)</f>
        <v/>
      </c>
      <c r="G9" s="20" t="n"/>
      <c r="H9" s="20" t="inlineStr">
        <is>
          <t>АУБ бөглөөгүй</t>
        </is>
      </c>
    </row>
    <row r="10">
      <c r="A10" s="19" t="inlineStr">
        <is>
          <t>БОДИТ</t>
        </is>
      </c>
      <c r="B10" s="20" t="inlineStr">
        <is>
          <t>EJ-2627-5A</t>
        </is>
      </c>
      <c r="C10" s="20" t="inlineStr">
        <is>
          <t>5а</t>
        </is>
      </c>
      <c r="D10" s="20" t="n">
        <v>5</v>
      </c>
      <c r="E10" s="20" t="inlineStr">
        <is>
          <t>2026-2027</t>
        </is>
      </c>
      <c r="F10" s="20">
        <f>COUNTIF('06 Сурагч'!$D$6:$D$252,$B10)</f>
        <v/>
      </c>
      <c r="G10" s="20" t="n"/>
      <c r="H10" s="20" t="inlineStr">
        <is>
          <t>АУБ бөглөөгүй</t>
        </is>
      </c>
    </row>
    <row r="11">
      <c r="A11" s="19" t="inlineStr">
        <is>
          <t>БОДИТ</t>
        </is>
      </c>
      <c r="B11" s="20" t="inlineStr">
        <is>
          <t>EJ-2627-6A</t>
        </is>
      </c>
      <c r="C11" s="20" t="inlineStr">
        <is>
          <t>6а</t>
        </is>
      </c>
      <c r="D11" s="20" t="n">
        <v>6</v>
      </c>
      <c r="E11" s="20" t="inlineStr">
        <is>
          <t>2026-2027</t>
        </is>
      </c>
      <c r="F11" s="20">
        <f>COUNTIF('06 Сурагч'!$D$6:$D$252,$B11)</f>
        <v/>
      </c>
      <c r="G11" s="21" t="inlineStr">
        <is>
          <t>Б.Буянзаяа (EJ-2627-T005)</t>
        </is>
      </c>
      <c r="H11" s="20" t="inlineStr">
        <is>
          <t>АУБ-г жишээгээр харуулав</t>
        </is>
      </c>
    </row>
    <row r="12">
      <c r="A12" s="19" t="inlineStr">
        <is>
          <t>БОДИТ</t>
        </is>
      </c>
      <c r="B12" s="20" t="inlineStr">
        <is>
          <t>EJ-2627-7A</t>
        </is>
      </c>
      <c r="C12" s="20" t="inlineStr">
        <is>
          <t>7а</t>
        </is>
      </c>
      <c r="D12" s="20" t="n">
        <v>7</v>
      </c>
      <c r="E12" s="20" t="inlineStr">
        <is>
          <t>2026-2027</t>
        </is>
      </c>
      <c r="F12" s="20">
        <f>COUNTIF('06 Сурагч'!$D$6:$D$252,$B12)</f>
        <v/>
      </c>
      <c r="G12" s="20" t="n"/>
      <c r="H12" s="20" t="inlineStr">
        <is>
          <t>АУБ бөглөөгүй</t>
        </is>
      </c>
    </row>
    <row r="13">
      <c r="A13" s="19" t="inlineStr">
        <is>
          <t>БОДИТ</t>
        </is>
      </c>
      <c r="B13" s="20" t="inlineStr">
        <is>
          <t>EJ-2627-7B</t>
        </is>
      </c>
      <c r="C13" s="20" t="inlineStr">
        <is>
          <t>7б</t>
        </is>
      </c>
      <c r="D13" s="20" t="n">
        <v>7</v>
      </c>
      <c r="E13" s="20" t="inlineStr">
        <is>
          <t>2026-2027</t>
        </is>
      </c>
      <c r="F13" s="20">
        <f>COUNTIF('06 Сурагч'!$D$6:$D$252,$B13)</f>
        <v/>
      </c>
      <c r="G13" s="20" t="n"/>
      <c r="H13" s="20" t="inlineStr">
        <is>
          <t>АУБ бөглөөгүй</t>
        </is>
      </c>
    </row>
    <row r="14">
      <c r="A14" s="19" t="inlineStr">
        <is>
          <t>БОДИТ</t>
        </is>
      </c>
      <c r="B14" s="20" t="inlineStr">
        <is>
          <t>EJ-2627-8A</t>
        </is>
      </c>
      <c r="C14" s="20" t="inlineStr">
        <is>
          <t>8а</t>
        </is>
      </c>
      <c r="D14" s="20" t="n">
        <v>8</v>
      </c>
      <c r="E14" s="20" t="inlineStr">
        <is>
          <t>2026-2027</t>
        </is>
      </c>
      <c r="F14" s="20">
        <f>COUNTIF('06 Сурагч'!$D$6:$D$252,$B14)</f>
        <v/>
      </c>
      <c r="G14" s="20" t="n"/>
      <c r="H14" s="20" t="inlineStr">
        <is>
          <t>АУБ бөглөөгүй</t>
        </is>
      </c>
    </row>
    <row r="15">
      <c r="A15" s="19" t="inlineStr">
        <is>
          <t>БОДИТ</t>
        </is>
      </c>
      <c r="B15" s="20" t="inlineStr">
        <is>
          <t>EJ-2627-9A</t>
        </is>
      </c>
      <c r="C15" s="20" t="inlineStr">
        <is>
          <t>9а</t>
        </is>
      </c>
      <c r="D15" s="20" t="n">
        <v>9</v>
      </c>
      <c r="E15" s="20" t="inlineStr">
        <is>
          <t>2026-2027</t>
        </is>
      </c>
      <c r="F15" s="20">
        <f>COUNTIF('06 Сурагч'!$D$6:$D$252,$B15)</f>
        <v/>
      </c>
      <c r="G15" s="20" t="n"/>
      <c r="H15" s="20" t="inlineStr">
        <is>
          <t>АУБ бөглөөгүй</t>
        </is>
      </c>
    </row>
    <row r="16">
      <c r="A16" s="19" t="inlineStr">
        <is>
          <t>БОДИТ</t>
        </is>
      </c>
      <c r="B16" s="20" t="inlineStr">
        <is>
          <t>EJ-2627-9B</t>
        </is>
      </c>
      <c r="C16" s="20" t="inlineStr">
        <is>
          <t>9б</t>
        </is>
      </c>
      <c r="D16" s="20" t="n">
        <v>9</v>
      </c>
      <c r="E16" s="20" t="inlineStr">
        <is>
          <t>2026-2027</t>
        </is>
      </c>
      <c r="F16" s="20">
        <f>COUNTIF('06 Сурагч'!$D$6:$D$252,$B16)</f>
        <v/>
      </c>
      <c r="G16" s="20" t="n"/>
      <c r="H16" s="20" t="inlineStr">
        <is>
          <t>АУБ бөглөөгүй</t>
        </is>
      </c>
    </row>
    <row r="17">
      <c r="A17" s="19" t="inlineStr">
        <is>
          <t>БОДИТ</t>
        </is>
      </c>
      <c r="B17" s="20" t="inlineStr">
        <is>
          <t>EJ-2627-10A</t>
        </is>
      </c>
      <c r="C17" s="20" t="inlineStr">
        <is>
          <t>10а</t>
        </is>
      </c>
      <c r="D17" s="20" t="n">
        <v>10</v>
      </c>
      <c r="E17" s="20" t="inlineStr">
        <is>
          <t>2026-2027</t>
        </is>
      </c>
      <c r="F17" s="20">
        <f>COUNTIF('06 Сурагч'!$D$6:$D$252,$B17)</f>
        <v/>
      </c>
      <c r="G17" s="20" t="n"/>
      <c r="H17" s="20" t="inlineStr">
        <is>
          <t>АУБ бөглөөгүй</t>
        </is>
      </c>
    </row>
    <row r="18">
      <c r="A18" s="19" t="inlineStr">
        <is>
          <t>БОДИТ</t>
        </is>
      </c>
      <c r="B18" s="20" t="inlineStr">
        <is>
          <t>EJ-2627-11A</t>
        </is>
      </c>
      <c r="C18" s="20" t="inlineStr">
        <is>
          <t>11а</t>
        </is>
      </c>
      <c r="D18" s="20" t="n">
        <v>11</v>
      </c>
      <c r="E18" s="20" t="inlineStr">
        <is>
          <t>2026-2027</t>
        </is>
      </c>
      <c r="F18" s="20">
        <f>COUNTIF('06 Сурагч'!$D$6:$D$252,$B18)</f>
        <v/>
      </c>
      <c r="G18" s="20" t="n"/>
      <c r="H18" s="20" t="inlineStr">
        <is>
          <t>АУБ бөглөөгүй</t>
        </is>
      </c>
    </row>
    <row r="19">
      <c r="A19" s="19" t="inlineStr">
        <is>
          <t>БОДИТ</t>
        </is>
      </c>
      <c r="B19" s="20" t="inlineStr">
        <is>
          <t>EJ-2627-12A</t>
        </is>
      </c>
      <c r="C19" s="20" t="inlineStr">
        <is>
          <t>12а</t>
        </is>
      </c>
      <c r="D19" s="20" t="n">
        <v>12</v>
      </c>
      <c r="E19" s="20" t="inlineStr">
        <is>
          <t>2026-2027</t>
        </is>
      </c>
      <c r="F19" s="20">
        <f>COUNTIF('06 Сурагч'!$D$6:$D$252,$B19)</f>
        <v/>
      </c>
      <c r="G19" s="20" t="n"/>
      <c r="H19" s="20" t="inlineStr">
        <is>
          <t>АУБ бөглөөгүй</t>
        </is>
      </c>
    </row>
    <row r="21" ht="30" customHeight="1">
      <c r="A21" s="15" t="inlineStr">
        <is>
          <t>АУБ нь «хэн ямар хичээл заадаг»-аас өөр ойлголт. АУБ ангийн бүх хичээлийг хардаг ч зөвхөн өөрийн заадаг хичээлээ засна.</t>
        </is>
      </c>
    </row>
  </sheetData>
  <autoFilter ref="A5:H19"/>
  <mergeCells count="4">
    <mergeCell ref="A21:H21"/>
    <mergeCell ref="A3:H3"/>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22" customWidth="1" min="3" max="3"/>
    <col width="18" customWidth="1" min="4" max="4"/>
    <col width="26" customWidth="1" min="5" max="5"/>
    <col width="18" customWidth="1" min="6" max="6"/>
    <col width="18" customWidth="1" min="7" max="7"/>
    <col width="26" customWidth="1" min="8" max="8"/>
  </cols>
  <sheetData>
    <row r="1">
      <c r="A1" s="16" t="inlineStr">
        <is>
          <t>Багш нар</t>
        </is>
      </c>
    </row>
    <row r="2" ht="44" customHeight="1">
      <c r="A2" s="2" t="inlineStr">
        <is>
          <t>Сургуулийн 24 багш. Нэр, нэвтрэх бүртгэл орсон. «Мэргэжил» баганыг ажилтны бүртгэлийн албан тушаалаас гаргав — энэ нь одоогоор баазад хадгалагддаггүй. «Үндсэн хичээл» бүгд хоосон.</t>
        </is>
      </c>
    </row>
    <row r="3">
      <c r="A3" s="22" t="inlineStr">
        <is>
          <t>ЗАРИМ НЬ ОРСОН — дутууг нөхөх шаардлагатай</t>
        </is>
      </c>
    </row>
    <row r="5" ht="32" customHeight="1">
      <c r="A5" s="18" t="inlineStr">
        <is>
          <t>Төлөв</t>
        </is>
      </c>
      <c r="B5" s="18" t="inlineStr">
        <is>
          <t>Багшийн код</t>
        </is>
      </c>
      <c r="C5" s="18" t="inlineStr">
        <is>
          <t>Овог нэр</t>
        </is>
      </c>
      <c r="D5" s="18" t="inlineStr">
        <is>
          <t>Нэвтрэх нэр</t>
        </is>
      </c>
      <c r="E5" s="18" t="inlineStr">
        <is>
          <t>Мэргэжил (бүртгэлээс)</t>
        </is>
      </c>
      <c r="F5" s="18" t="inlineStr">
        <is>
          <t>Үндсэн хичээлийн код</t>
        </is>
      </c>
      <c r="G5" s="18" t="inlineStr">
        <is>
          <t>Хариуцсан анги-хичээл</t>
        </is>
      </c>
      <c r="H5" s="18" t="inlineStr">
        <is>
          <t>Тэмдэглэл</t>
        </is>
      </c>
    </row>
    <row r="6">
      <c r="A6" s="19" t="inlineStr">
        <is>
          <t>БОДИТ</t>
        </is>
      </c>
      <c r="B6" s="20" t="inlineStr">
        <is>
          <t>EJ-2627-T001</t>
        </is>
      </c>
      <c r="C6" s="20" t="inlineStr">
        <is>
          <t>Б.Амартүвшин</t>
        </is>
      </c>
      <c r="D6" s="20" t="inlineStr">
        <is>
          <t>ej26t001</t>
        </is>
      </c>
      <c r="E6" s="20" t="inlineStr">
        <is>
          <t>Түүх, нийгэм судлал</t>
        </is>
      </c>
      <c r="F6" s="20" t="n"/>
      <c r="G6" s="20">
        <f>COUNTIF('05 Багш-анги-хичээл'!$B$6:$B$40,$B6)</f>
        <v/>
      </c>
      <c r="H6" s="20" t="inlineStr">
        <is>
          <t>Үндсэн хичээл баазад хоосон</t>
        </is>
      </c>
    </row>
    <row r="7">
      <c r="A7" s="19" t="inlineStr">
        <is>
          <t>БОДИТ</t>
        </is>
      </c>
      <c r="B7" s="20" t="inlineStr">
        <is>
          <t>EJ-2627-T003</t>
        </is>
      </c>
      <c r="C7" s="20" t="inlineStr">
        <is>
          <t>Г.Батцэцэг</t>
        </is>
      </c>
      <c r="D7" s="20" t="inlineStr">
        <is>
          <t>ej26t002</t>
        </is>
      </c>
      <c r="E7" s="20" t="inlineStr">
        <is>
          <t>Биеийн тамир</t>
        </is>
      </c>
      <c r="F7" s="20" t="n"/>
      <c r="G7" s="20">
        <f>COUNTIF('05 Багш-анги-хичээл'!$B$6:$B$40,$B7)</f>
        <v/>
      </c>
      <c r="H7" s="20" t="inlineStr">
        <is>
          <t>Үндсэн хичээл баазад хоосон</t>
        </is>
      </c>
    </row>
    <row r="8">
      <c r="A8" s="19" t="inlineStr">
        <is>
          <t>БОДИТ</t>
        </is>
      </c>
      <c r="B8" s="20" t="inlineStr">
        <is>
          <t>EJ-2627-T004</t>
        </is>
      </c>
      <c r="C8" s="20" t="inlineStr">
        <is>
          <t>Х.Болор-Эрдэнэ</t>
        </is>
      </c>
      <c r="D8" s="20" t="inlineStr">
        <is>
          <t>ej26t003</t>
        </is>
      </c>
      <c r="E8" s="20" t="inlineStr">
        <is>
          <t>Физик</t>
        </is>
      </c>
      <c r="F8" s="20" t="n"/>
      <c r="G8" s="20">
        <f>COUNTIF('05 Багш-анги-хичээл'!$B$6:$B$40,$B8)</f>
        <v/>
      </c>
      <c r="H8" s="20" t="inlineStr">
        <is>
          <t>Үндсэн хичээл баазад хоосон</t>
        </is>
      </c>
    </row>
    <row r="9">
      <c r="A9" s="19" t="inlineStr">
        <is>
          <t>БОДИТ</t>
        </is>
      </c>
      <c r="B9" s="20" t="inlineStr">
        <is>
          <t>EJ-2627-T005</t>
        </is>
      </c>
      <c r="C9" s="20" t="inlineStr">
        <is>
          <t>Б.Буянзаяа</t>
        </is>
      </c>
      <c r="D9" s="20" t="inlineStr">
        <is>
          <t>ej26t004</t>
        </is>
      </c>
      <c r="E9" s="20" t="inlineStr">
        <is>
          <t>Математик</t>
        </is>
      </c>
      <c r="F9" s="20" t="n"/>
      <c r="G9" s="20">
        <f>COUNTIF('05 Багш-анги-хичээл'!$B$6:$B$40,$B9)</f>
        <v/>
      </c>
      <c r="H9" s="20" t="inlineStr">
        <is>
          <t>Үндсэн хичээл баазад хоосон</t>
        </is>
      </c>
    </row>
    <row r="10">
      <c r="A10" s="19" t="inlineStr">
        <is>
          <t>БОДИТ</t>
        </is>
      </c>
      <c r="B10" s="20" t="inlineStr">
        <is>
          <t>EJ-2627-T006</t>
        </is>
      </c>
      <c r="C10" s="20" t="inlineStr">
        <is>
          <t>Д.Ганбат</t>
        </is>
      </c>
      <c r="D10" s="20" t="inlineStr">
        <is>
          <t>ej26t005</t>
        </is>
      </c>
      <c r="E10" s="20" t="inlineStr">
        <is>
          <t>Физик</t>
        </is>
      </c>
      <c r="F10" s="20" t="n"/>
      <c r="G10" s="20">
        <f>COUNTIF('05 Багш-анги-хичээл'!$B$6:$B$40,$B10)</f>
        <v/>
      </c>
      <c r="H10" s="20" t="inlineStr">
        <is>
          <t>Үндсэн хичээл баазад хоосон</t>
        </is>
      </c>
    </row>
    <row r="11">
      <c r="A11" s="19" t="inlineStr">
        <is>
          <t>БОДИТ</t>
        </is>
      </c>
      <c r="B11" s="20" t="inlineStr">
        <is>
          <t>EJ-2627-T007</t>
        </is>
      </c>
      <c r="C11" s="20" t="inlineStr">
        <is>
          <t>Б.Гансүх</t>
        </is>
      </c>
      <c r="D11" s="20" t="inlineStr">
        <is>
          <t>ej26t006</t>
        </is>
      </c>
      <c r="E11" s="20" t="inlineStr">
        <is>
          <t>Математик</t>
        </is>
      </c>
      <c r="F11" s="20" t="n"/>
      <c r="G11" s="20">
        <f>COUNTIF('05 Багш-анги-хичээл'!$B$6:$B$40,$B11)</f>
        <v/>
      </c>
      <c r="H11" s="20" t="inlineStr">
        <is>
          <t>Үндсэн хичээл баазад хоосон</t>
        </is>
      </c>
    </row>
    <row r="12">
      <c r="A12" s="19" t="inlineStr">
        <is>
          <t>БОДИТ</t>
        </is>
      </c>
      <c r="B12" s="20" t="inlineStr">
        <is>
          <t>EJ-2627-T008</t>
        </is>
      </c>
      <c r="C12" s="20" t="inlineStr">
        <is>
          <t>Э.Дуламсүрэн</t>
        </is>
      </c>
      <c r="D12" s="20" t="inlineStr">
        <is>
          <t>ej26t007</t>
        </is>
      </c>
      <c r="E12" s="20" t="inlineStr">
        <is>
          <t>Англи хэл</t>
        </is>
      </c>
      <c r="F12" s="20" t="n"/>
      <c r="G12" s="20">
        <f>COUNTIF('05 Багш-анги-хичээл'!$B$6:$B$40,$B12)</f>
        <v/>
      </c>
      <c r="H12" s="20" t="inlineStr">
        <is>
          <t>Үндсэн хичээл баазад хоосон</t>
        </is>
      </c>
    </row>
    <row r="13">
      <c r="A13" s="19" t="inlineStr">
        <is>
          <t>БОДИТ</t>
        </is>
      </c>
      <c r="B13" s="20" t="inlineStr">
        <is>
          <t>EJ-2627-T009</t>
        </is>
      </c>
      <c r="C13" s="20" t="inlineStr">
        <is>
          <t>Д.Дэлгэрмаа</t>
        </is>
      </c>
      <c r="D13" s="20" t="inlineStr">
        <is>
          <t>ej26t008</t>
        </is>
      </c>
      <c r="E13" s="20" t="inlineStr">
        <is>
          <t>Бага анги</t>
        </is>
      </c>
      <c r="F13" s="20" t="n"/>
      <c r="G13" s="20">
        <f>COUNTIF('05 Багш-анги-хичээл'!$B$6:$B$40,$B13)</f>
        <v/>
      </c>
      <c r="H13" s="20" t="inlineStr">
        <is>
          <t>Үндсэн хичээл баазад хоосон</t>
        </is>
      </c>
    </row>
    <row r="14">
      <c r="A14" s="19" t="inlineStr">
        <is>
          <t>БОДИТ</t>
        </is>
      </c>
      <c r="B14" s="20" t="inlineStr">
        <is>
          <t>EJ-2627-T010</t>
        </is>
      </c>
      <c r="C14" s="20" t="inlineStr">
        <is>
          <t>А.Мөнхнаран</t>
        </is>
      </c>
      <c r="D14" s="20" t="inlineStr">
        <is>
          <t>ej26t009</t>
        </is>
      </c>
      <c r="E14" s="20" t="inlineStr">
        <is>
          <t>Нийгэм, газарзүй</t>
        </is>
      </c>
      <c r="F14" s="20" t="n"/>
      <c r="G14" s="20">
        <f>COUNTIF('05 Багш-анги-хичээл'!$B$6:$B$40,$B14)</f>
        <v/>
      </c>
      <c r="H14" s="20" t="inlineStr">
        <is>
          <t>Үндсэн хичээл баазад хоосон</t>
        </is>
      </c>
    </row>
    <row r="15">
      <c r="A15" s="19" t="inlineStr">
        <is>
          <t>БОДИТ</t>
        </is>
      </c>
      <c r="B15" s="20" t="inlineStr">
        <is>
          <t>EJ-2627-T013</t>
        </is>
      </c>
      <c r="C15" s="20" t="inlineStr">
        <is>
          <t>Б.Нандинцэцэг</t>
        </is>
      </c>
      <c r="D15" s="20" t="inlineStr">
        <is>
          <t>ej26t010</t>
        </is>
      </c>
      <c r="E15" s="20" t="inlineStr">
        <is>
          <t>Математик</t>
        </is>
      </c>
      <c r="F15" s="20" t="n"/>
      <c r="G15" s="20">
        <f>COUNTIF('05 Багш-анги-хичээл'!$B$6:$B$40,$B15)</f>
        <v/>
      </c>
      <c r="H15" s="20" t="inlineStr">
        <is>
          <t>Үндсэн хичээл баазад хоосон</t>
        </is>
      </c>
    </row>
    <row r="16">
      <c r="A16" s="19" t="inlineStr">
        <is>
          <t>БОДИТ</t>
        </is>
      </c>
      <c r="B16" s="20" t="inlineStr">
        <is>
          <t>EJ-2627-T014</t>
        </is>
      </c>
      <c r="C16" s="20" t="inlineStr">
        <is>
          <t>Н.Нансал</t>
        </is>
      </c>
      <c r="D16" s="20" t="inlineStr">
        <is>
          <t>ej26t011</t>
        </is>
      </c>
      <c r="E16" s="20" t="inlineStr">
        <is>
          <t>Монгол хэл, уран зохиол</t>
        </is>
      </c>
      <c r="F16" s="20" t="n"/>
      <c r="G16" s="20">
        <f>COUNTIF('05 Багш-анги-хичээл'!$B$6:$B$40,$B16)</f>
        <v/>
      </c>
      <c r="H16" s="20" t="inlineStr">
        <is>
          <t>Үндсэн хичээл баазад хоосон</t>
        </is>
      </c>
    </row>
    <row r="17">
      <c r="A17" s="19" t="inlineStr">
        <is>
          <t>БОДИТ</t>
        </is>
      </c>
      <c r="B17" s="20" t="inlineStr">
        <is>
          <t>EJ-2627-T015</t>
        </is>
      </c>
      <c r="C17" s="20" t="inlineStr">
        <is>
          <t>Э.Номуундарь</t>
        </is>
      </c>
      <c r="D17" s="20" t="inlineStr">
        <is>
          <t>ej26t012</t>
        </is>
      </c>
      <c r="E17" s="20" t="inlineStr">
        <is>
          <t>Зураг, технологи</t>
        </is>
      </c>
      <c r="F17" s="20" t="n"/>
      <c r="G17" s="20">
        <f>COUNTIF('05 Багш-анги-хичээл'!$B$6:$B$40,$B17)</f>
        <v/>
      </c>
      <c r="H17" s="20" t="inlineStr">
        <is>
          <t>Үндсэн хичээл баазад хоосон</t>
        </is>
      </c>
    </row>
    <row r="18">
      <c r="A18" s="19" t="inlineStr">
        <is>
          <t>БОДИТ</t>
        </is>
      </c>
      <c r="B18" s="20" t="inlineStr">
        <is>
          <t>EJ-2627-T016</t>
        </is>
      </c>
      <c r="C18" s="20" t="inlineStr">
        <is>
          <t>Б.Норовжаргал</t>
        </is>
      </c>
      <c r="D18" s="20" t="inlineStr">
        <is>
          <t>ej26t013</t>
        </is>
      </c>
      <c r="E18" s="20" t="inlineStr">
        <is>
          <t>Монгол хэл, уран зохиол</t>
        </is>
      </c>
      <c r="F18" s="20" t="n"/>
      <c r="G18" s="20">
        <f>COUNTIF('05 Багш-анги-хичээл'!$B$6:$B$40,$B18)</f>
        <v/>
      </c>
      <c r="H18" s="20" t="inlineStr">
        <is>
          <t>Үндсэн хичээл баазад хоосон</t>
        </is>
      </c>
    </row>
    <row r="19">
      <c r="A19" s="19" t="inlineStr">
        <is>
          <t>БОДИТ</t>
        </is>
      </c>
      <c r="B19" s="20" t="inlineStr">
        <is>
          <t>EJ-2627-T017</t>
        </is>
      </c>
      <c r="C19" s="20" t="inlineStr">
        <is>
          <t>Б.Одхүү</t>
        </is>
      </c>
      <c r="D19" s="20" t="inlineStr">
        <is>
          <t>ej26t014</t>
        </is>
      </c>
      <c r="E19" s="20" t="inlineStr">
        <is>
          <t>Бага анги</t>
        </is>
      </c>
      <c r="F19" s="20" t="n"/>
      <c r="G19" s="20">
        <f>COUNTIF('05 Багш-анги-хичээл'!$B$6:$B$40,$B19)</f>
        <v/>
      </c>
      <c r="H19" s="20" t="inlineStr">
        <is>
          <t>Үндсэн хичээл баазад хоосон</t>
        </is>
      </c>
    </row>
    <row r="20">
      <c r="A20" s="19" t="inlineStr">
        <is>
          <t>БОДИТ</t>
        </is>
      </c>
      <c r="B20" s="20" t="inlineStr">
        <is>
          <t>EJ-2627-T018</t>
        </is>
      </c>
      <c r="C20" s="20" t="inlineStr">
        <is>
          <t>Б.Отгонбулаг</t>
        </is>
      </c>
      <c r="D20" s="20" t="inlineStr">
        <is>
          <t>ej26t015</t>
        </is>
      </c>
      <c r="E20" s="20" t="inlineStr">
        <is>
          <t>Хими, биологи</t>
        </is>
      </c>
      <c r="F20" s="20" t="n"/>
      <c r="G20" s="20">
        <f>COUNTIF('05 Багш-анги-хичээл'!$B$6:$B$40,$B20)</f>
        <v/>
      </c>
      <c r="H20" s="20" t="inlineStr">
        <is>
          <t>Үндсэн хичээл баазад хоосон</t>
        </is>
      </c>
    </row>
    <row r="21">
      <c r="A21" s="19" t="inlineStr">
        <is>
          <t>БОДИТ</t>
        </is>
      </c>
      <c r="B21" s="20" t="inlineStr">
        <is>
          <t>EJ-2627-T019</t>
        </is>
      </c>
      <c r="C21" s="20" t="inlineStr">
        <is>
          <t>Л.Сэмжидмаа</t>
        </is>
      </c>
      <c r="D21" s="20" t="inlineStr">
        <is>
          <t>ej26t016</t>
        </is>
      </c>
      <c r="E21" s="20" t="inlineStr">
        <is>
          <t>Бага анги</t>
        </is>
      </c>
      <c r="F21" s="20" t="n"/>
      <c r="G21" s="20">
        <f>COUNTIF('05 Багш-анги-хичээл'!$B$6:$B$40,$B21)</f>
        <v/>
      </c>
      <c r="H21" s="20" t="inlineStr">
        <is>
          <t>Үндсэн хичээл баазад хоосон</t>
        </is>
      </c>
    </row>
    <row r="22">
      <c r="A22" s="19" t="inlineStr">
        <is>
          <t>БОДИТ</t>
        </is>
      </c>
      <c r="B22" s="20" t="inlineStr">
        <is>
          <t>EJ-2627-T021</t>
        </is>
      </c>
      <c r="C22" s="20" t="inlineStr">
        <is>
          <t>Б.Түвшинбат</t>
        </is>
      </c>
      <c r="D22" s="20" t="inlineStr">
        <is>
          <t>ej26t017</t>
        </is>
      </c>
      <c r="E22" s="20" t="inlineStr">
        <is>
          <t>Биеийн тамир</t>
        </is>
      </c>
      <c r="F22" s="20" t="n"/>
      <c r="G22" s="20">
        <f>COUNTIF('05 Багш-анги-хичээл'!$B$6:$B$40,$B22)</f>
        <v/>
      </c>
      <c r="H22" s="20" t="inlineStr">
        <is>
          <t>Үндсэн хичээл баазад хоосон</t>
        </is>
      </c>
    </row>
    <row r="23">
      <c r="A23" s="19" t="inlineStr">
        <is>
          <t>БОДИТ</t>
        </is>
      </c>
      <c r="B23" s="20" t="inlineStr">
        <is>
          <t>EJ-2627-T022</t>
        </is>
      </c>
      <c r="C23" s="20" t="inlineStr">
        <is>
          <t>Ц.Урангоо</t>
        </is>
      </c>
      <c r="D23" s="20" t="inlineStr">
        <is>
          <t>ej26t018</t>
        </is>
      </c>
      <c r="E23" s="20" t="inlineStr">
        <is>
          <t>Дуу хөгжим</t>
        </is>
      </c>
      <c r="F23" s="20" t="n"/>
      <c r="G23" s="20">
        <f>COUNTIF('05 Багш-анги-хичээл'!$B$6:$B$40,$B23)</f>
        <v/>
      </c>
      <c r="H23" s="20" t="inlineStr">
        <is>
          <t>Үндсэн хичээл баазад хоосон</t>
        </is>
      </c>
    </row>
    <row r="24">
      <c r="A24" s="19" t="inlineStr">
        <is>
          <t>БОДИТ</t>
        </is>
      </c>
      <c r="B24" s="20" t="inlineStr">
        <is>
          <t>EJ-2627-T024</t>
        </is>
      </c>
      <c r="C24" s="20" t="inlineStr">
        <is>
          <t>Ш.Цоггэрэл</t>
        </is>
      </c>
      <c r="D24" s="20" t="inlineStr">
        <is>
          <t>ej26t019</t>
        </is>
      </c>
      <c r="E24" s="20" t="inlineStr">
        <is>
          <t>Бага анги</t>
        </is>
      </c>
      <c r="F24" s="20" t="n"/>
      <c r="G24" s="20">
        <f>COUNTIF('05 Багш-анги-хичээл'!$B$6:$B$40,$B24)</f>
        <v/>
      </c>
      <c r="H24" s="20" t="inlineStr">
        <is>
          <t>Үндсэн хичээл баазад хоосон</t>
        </is>
      </c>
    </row>
    <row r="25">
      <c r="A25" s="19" t="inlineStr">
        <is>
          <t>БОДИТ</t>
        </is>
      </c>
      <c r="B25" s="20" t="inlineStr">
        <is>
          <t>EJ-2627-T025</t>
        </is>
      </c>
      <c r="C25" s="20" t="inlineStr">
        <is>
          <t>Б.Цэдэвмаа</t>
        </is>
      </c>
      <c r="D25" s="20" t="inlineStr">
        <is>
          <t>ej26t020</t>
        </is>
      </c>
      <c r="E25" s="20" t="inlineStr">
        <is>
          <t>Англи, орос хэл</t>
        </is>
      </c>
      <c r="F25" s="20" t="n"/>
      <c r="G25" s="20">
        <f>COUNTIF('05 Багш-анги-хичээл'!$B$6:$B$40,$B25)</f>
        <v/>
      </c>
      <c r="H25" s="20" t="inlineStr">
        <is>
          <t>Үндсэн хичээл баазад хоосон</t>
        </is>
      </c>
    </row>
    <row r="26">
      <c r="A26" s="19" t="inlineStr">
        <is>
          <t>БОДИТ</t>
        </is>
      </c>
      <c r="B26" s="20" t="inlineStr">
        <is>
          <t>EJ-2627-T026</t>
        </is>
      </c>
      <c r="C26" s="20" t="inlineStr">
        <is>
          <t>А.Цэрэндулам</t>
        </is>
      </c>
      <c r="D26" s="20" t="inlineStr">
        <is>
          <t>ej26t021</t>
        </is>
      </c>
      <c r="E26" s="20" t="inlineStr">
        <is>
          <t>Бага анги</t>
        </is>
      </c>
      <c r="F26" s="20" t="n"/>
      <c r="G26" s="20">
        <f>COUNTIF('05 Багш-анги-хичээл'!$B$6:$B$40,$B26)</f>
        <v/>
      </c>
      <c r="H26" s="20" t="inlineStr">
        <is>
          <t>Үндсэн хичээл баазад хоосон</t>
        </is>
      </c>
    </row>
    <row r="27">
      <c r="A27" s="19" t="inlineStr">
        <is>
          <t>БОДИТ</t>
        </is>
      </c>
      <c r="B27" s="20" t="inlineStr">
        <is>
          <t>EJ-2627-T027</t>
        </is>
      </c>
      <c r="C27" s="20" t="inlineStr">
        <is>
          <t>Б.Чингүнбаяр</t>
        </is>
      </c>
      <c r="D27" s="20" t="inlineStr">
        <is>
          <t>ej26t022</t>
        </is>
      </c>
      <c r="E27" s="20" t="inlineStr">
        <is>
          <t>Математик</t>
        </is>
      </c>
      <c r="F27" s="20" t="n"/>
      <c r="G27" s="20">
        <f>COUNTIF('05 Багш-анги-хичээл'!$B$6:$B$40,$B27)</f>
        <v/>
      </c>
      <c r="H27" s="20" t="inlineStr">
        <is>
          <t>Үндсэн хичээл баазад хоосон</t>
        </is>
      </c>
    </row>
    <row r="28">
      <c r="A28" s="19" t="inlineStr">
        <is>
          <t>БОДИТ</t>
        </is>
      </c>
      <c r="B28" s="20" t="inlineStr">
        <is>
          <t>EJ-2627-T029</t>
        </is>
      </c>
      <c r="C28" s="20" t="inlineStr">
        <is>
          <t>Э.Энхпүрэв</t>
        </is>
      </c>
      <c r="D28" s="20" t="inlineStr">
        <is>
          <t>ej26t023</t>
        </is>
      </c>
      <c r="E28" s="20" t="inlineStr">
        <is>
          <t>Бага анги</t>
        </is>
      </c>
      <c r="F28" s="20" t="n"/>
      <c r="G28" s="20">
        <f>COUNTIF('05 Багш-анги-хичээл'!$B$6:$B$40,$B28)</f>
        <v/>
      </c>
      <c r="H28" s="20" t="inlineStr">
        <is>
          <t>Үндсэн хичээл баазад хоосон</t>
        </is>
      </c>
    </row>
    <row r="29">
      <c r="A29" s="19" t="inlineStr">
        <is>
          <t>БОДИТ</t>
        </is>
      </c>
      <c r="B29" s="20" t="inlineStr">
        <is>
          <t>EJ-2627-T030</t>
        </is>
      </c>
      <c r="C29" s="20" t="inlineStr">
        <is>
          <t>Т.Эрдэнээ</t>
        </is>
      </c>
      <c r="D29" s="20" t="inlineStr">
        <is>
          <t>ej26t024</t>
        </is>
      </c>
      <c r="E29" s="20" t="inlineStr">
        <is>
          <t>Монгол хэл, уран зохиол</t>
        </is>
      </c>
      <c r="F29" s="20" t="n"/>
      <c r="G29" s="20">
        <f>COUNTIF('05 Багш-анги-хичээл'!$B$6:$B$40,$B29)</f>
        <v/>
      </c>
      <c r="H29" s="20" t="inlineStr">
        <is>
          <t>Үндсэн хичээл баазад хоосон</t>
        </is>
      </c>
    </row>
    <row r="31" ht="30" customHeight="1">
      <c r="A31" s="15" t="inlineStr">
        <is>
          <t>Бүртгэлд мэдээллийн технологи, үндэсний бичгийн багш алга. 6-р ангид эдгээр хичээл номтой байгаа тул хэн заахыг тодруулах шаардлагатай.</t>
        </is>
      </c>
    </row>
  </sheetData>
  <autoFilter ref="A5:H29"/>
  <mergeCells count="4">
    <mergeCell ref="A31:H31"/>
    <mergeCell ref="A3:H3"/>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22" customWidth="1" min="3" max="3"/>
    <col width="16" customWidth="1" min="4" max="4"/>
    <col width="10" customWidth="1" min="5" max="5"/>
    <col width="16" customWidth="1" min="6" max="6"/>
    <col width="26" customWidth="1" min="7" max="7"/>
    <col width="16" customWidth="1" min="8" max="8"/>
    <col width="44" customWidth="1" min="9" max="9"/>
  </cols>
  <sheetData>
    <row r="1">
      <c r="A1" s="16" t="inlineStr">
        <is>
          <t>Багш ↔ анги ↔ хичээл   (★ ХАМГИЙН ЧУХАЛ)</t>
        </is>
      </c>
    </row>
    <row r="2" ht="44" customHeight="1">
      <c r="A2" s="2" t="inlineStr">
        <is>
          <t>«Хэн, аль ангид, ямар хичээл заадаг вэ». Энэ хүснэгт БҮХЭЛДЭЭ ХООСОН. Багшийн дэлгэц, үнэлгээ, шалгалтын эрх бүгд үүнээс хамаарна. Доорх нь 6а ангийн жишээ — багш нарыг мэргэжлээр нь тааруулж харуулав, сургууль баталгаажуулах ёстой.</t>
        </is>
      </c>
    </row>
    <row r="3">
      <c r="A3" s="23" t="inlineStr">
        <is>
          <t>ХООСОН — бүхэлдээ сургуулиас авах ёстой</t>
        </is>
      </c>
    </row>
    <row r="5" ht="32" customHeight="1">
      <c r="A5" s="18" t="inlineStr">
        <is>
          <t>Төлөв</t>
        </is>
      </c>
      <c r="B5" s="18" t="inlineStr">
        <is>
          <t>Багшийн код</t>
        </is>
      </c>
      <c r="C5" s="18" t="inlineStr">
        <is>
          <t>Багшийн нэр</t>
        </is>
      </c>
      <c r="D5" s="18" t="inlineStr">
        <is>
          <t>Ангийн код</t>
        </is>
      </c>
      <c r="E5" s="18" t="inlineStr">
        <is>
          <t>Анги</t>
        </is>
      </c>
      <c r="F5" s="18" t="inlineStr">
        <is>
          <t>Хичээлийн код</t>
        </is>
      </c>
      <c r="G5" s="18" t="inlineStr">
        <is>
          <t>Хичээл</t>
        </is>
      </c>
      <c r="H5" s="18" t="inlineStr">
        <is>
          <t>Үүрэг</t>
        </is>
      </c>
      <c r="I5" s="18" t="inlineStr">
        <is>
          <t>Тэмдэглэл</t>
        </is>
      </c>
    </row>
    <row r="6">
      <c r="A6" s="6" t="inlineStr">
        <is>
          <t>ЖИШЭЭ</t>
        </is>
      </c>
      <c r="B6" s="21" t="inlineStr">
        <is>
          <t>EJ-2627-T005</t>
        </is>
      </c>
      <c r="C6" s="21" t="inlineStr">
        <is>
          <t>Б.Буянзаяа</t>
        </is>
      </c>
      <c r="D6" s="21" t="inlineStr">
        <is>
          <t>EJ-2627-6A</t>
        </is>
      </c>
      <c r="E6" s="21" t="inlineStr">
        <is>
          <t>6а</t>
        </is>
      </c>
      <c r="F6" s="21" t="inlineStr">
        <is>
          <t>MATH</t>
        </is>
      </c>
      <c r="G6" s="21" t="inlineStr">
        <is>
          <t>Математик</t>
        </is>
      </c>
      <c r="H6" s="21" t="inlineStr">
        <is>
          <t>Заадаг + АУБ</t>
        </is>
      </c>
      <c r="I6" s="21" t="n"/>
    </row>
    <row r="7">
      <c r="A7" s="6" t="inlineStr">
        <is>
          <t>ЖИШЭЭ</t>
        </is>
      </c>
      <c r="B7" s="21" t="inlineStr">
        <is>
          <t>EJ-2627-T014</t>
        </is>
      </c>
      <c r="C7" s="21" t="inlineStr">
        <is>
          <t>Н.Нансал</t>
        </is>
      </c>
      <c r="D7" s="21" t="inlineStr">
        <is>
          <t>EJ-2627-6A</t>
        </is>
      </c>
      <c r="E7" s="21" t="inlineStr">
        <is>
          <t>6а</t>
        </is>
      </c>
      <c r="F7" s="21" t="inlineStr">
        <is>
          <t>MGL</t>
        </is>
      </c>
      <c r="G7" s="21" t="inlineStr">
        <is>
          <t>Монгол хэл</t>
        </is>
      </c>
      <c r="H7" s="21" t="inlineStr">
        <is>
          <t>Заадаг</t>
        </is>
      </c>
      <c r="I7" s="21" t="n"/>
    </row>
    <row r="8">
      <c r="A8" s="6" t="inlineStr">
        <is>
          <t>ЖИШЭЭ</t>
        </is>
      </c>
      <c r="B8" s="21" t="inlineStr">
        <is>
          <t>EJ-2627-T030</t>
        </is>
      </c>
      <c r="C8" s="21" t="inlineStr">
        <is>
          <t>Т.Эрдэнээ</t>
        </is>
      </c>
      <c r="D8" s="21" t="inlineStr">
        <is>
          <t>EJ-2627-6A</t>
        </is>
      </c>
      <c r="E8" s="21" t="inlineStr">
        <is>
          <t>6а</t>
        </is>
      </c>
      <c r="F8" s="21" t="inlineStr">
        <is>
          <t>LIT</t>
        </is>
      </c>
      <c r="G8" s="21" t="inlineStr">
        <is>
          <t>Уран зохиол</t>
        </is>
      </c>
      <c r="H8" s="21" t="inlineStr">
        <is>
          <t>Заадаг</t>
        </is>
      </c>
      <c r="I8" s="21" t="n"/>
    </row>
    <row r="9">
      <c r="A9" s="6" t="inlineStr">
        <is>
          <t>ЖИШЭЭ</t>
        </is>
      </c>
      <c r="B9" s="21" t="inlineStr">
        <is>
          <t>EJ-2627-T001</t>
        </is>
      </c>
      <c r="C9" s="21" t="inlineStr">
        <is>
          <t>Б.Амартүвшин</t>
        </is>
      </c>
      <c r="D9" s="21" t="inlineStr">
        <is>
          <t>EJ-2627-6A</t>
        </is>
      </c>
      <c r="E9" s="21" t="inlineStr">
        <is>
          <t>6а</t>
        </is>
      </c>
      <c r="F9" s="21" t="inlineStr">
        <is>
          <t>HIST</t>
        </is>
      </c>
      <c r="G9" s="21" t="inlineStr">
        <is>
          <t>Түүх</t>
        </is>
      </c>
      <c r="H9" s="21" t="inlineStr">
        <is>
          <t>Заадаг</t>
        </is>
      </c>
      <c r="I9" s="21" t="n"/>
    </row>
    <row r="10">
      <c r="A10" s="6" t="inlineStr">
        <is>
          <t>ЖИШЭЭ</t>
        </is>
      </c>
      <c r="B10" s="21" t="inlineStr">
        <is>
          <t>EJ-2627-T008</t>
        </is>
      </c>
      <c r="C10" s="21" t="inlineStr">
        <is>
          <t>Э.Дуламсүрэн</t>
        </is>
      </c>
      <c r="D10" s="21" t="inlineStr">
        <is>
          <t>EJ-2627-6A</t>
        </is>
      </c>
      <c r="E10" s="21" t="inlineStr">
        <is>
          <t>6а</t>
        </is>
      </c>
      <c r="F10" s="21" t="inlineStr">
        <is>
          <t>ENG</t>
        </is>
      </c>
      <c r="G10" s="21" t="inlineStr">
        <is>
          <t>Англи хэл</t>
        </is>
      </c>
      <c r="H10" s="21" t="inlineStr">
        <is>
          <t>Заадаг</t>
        </is>
      </c>
      <c r="I10" s="21" t="n"/>
    </row>
    <row r="11">
      <c r="A11" s="6" t="inlineStr">
        <is>
          <t>ЖИШЭЭ</t>
        </is>
      </c>
      <c r="B11" s="21" t="inlineStr">
        <is>
          <t>EJ-2627-T018</t>
        </is>
      </c>
      <c r="C11" s="21" t="inlineStr">
        <is>
          <t>Б.Отгонбулаг</t>
        </is>
      </c>
      <c r="D11" s="21" t="inlineStr">
        <is>
          <t>EJ-2627-6A</t>
        </is>
      </c>
      <c r="E11" s="21" t="inlineStr">
        <is>
          <t>6а</t>
        </is>
      </c>
      <c r="F11" s="21" t="inlineStr">
        <is>
          <t>SCI</t>
        </is>
      </c>
      <c r="G11" s="21" t="inlineStr">
        <is>
          <t>Байгалийн ухаан</t>
        </is>
      </c>
      <c r="H11" s="21" t="inlineStr">
        <is>
          <t>Заадаг</t>
        </is>
      </c>
      <c r="I11" s="21" t="n"/>
    </row>
    <row r="12">
      <c r="A12" s="6" t="inlineStr">
        <is>
          <t>ЖИШЭЭ</t>
        </is>
      </c>
      <c r="B12" s="21" t="inlineStr">
        <is>
          <t>EJ-2627-T015</t>
        </is>
      </c>
      <c r="C12" s="21" t="inlineStr">
        <is>
          <t>Э.Номуундарь</t>
        </is>
      </c>
      <c r="D12" s="21" t="inlineStr">
        <is>
          <t>EJ-2627-6A</t>
        </is>
      </c>
      <c r="E12" s="21" t="inlineStr">
        <is>
          <t>6а</t>
        </is>
      </c>
      <c r="F12" s="21" t="inlineStr">
        <is>
          <t>ART</t>
        </is>
      </c>
      <c r="G12" s="21" t="inlineStr">
        <is>
          <t>Дүрслэх урлаг</t>
        </is>
      </c>
      <c r="H12" s="21" t="inlineStr">
        <is>
          <t>Заадаг</t>
        </is>
      </c>
      <c r="I12" s="21" t="n"/>
    </row>
    <row r="13">
      <c r="A13" s="6" t="inlineStr">
        <is>
          <t>ЖИШЭЭ</t>
        </is>
      </c>
      <c r="B13" s="21" t="inlineStr">
        <is>
          <t>EJ-2627-T015</t>
        </is>
      </c>
      <c r="C13" s="21" t="inlineStr">
        <is>
          <t>Э.Номуундарь</t>
        </is>
      </c>
      <c r="D13" s="21" t="inlineStr">
        <is>
          <t>EJ-2627-6A</t>
        </is>
      </c>
      <c r="E13" s="21" t="inlineStr">
        <is>
          <t>6а</t>
        </is>
      </c>
      <c r="F13" s="21" t="inlineStr">
        <is>
          <t>DTECH</t>
        </is>
      </c>
      <c r="G13" s="21" t="inlineStr">
        <is>
          <t>Дизайн технологи</t>
        </is>
      </c>
      <c r="H13" s="21" t="inlineStr">
        <is>
          <t>Заадаг</t>
        </is>
      </c>
      <c r="I13" s="24" t="inlineStr">
        <is>
          <t>Нэг багш нэг ангид хоёр хичээл заах нь боломжтой</t>
        </is>
      </c>
    </row>
    <row r="14">
      <c r="A14" s="6" t="inlineStr">
        <is>
          <t>ЖИШЭЭ</t>
        </is>
      </c>
      <c r="B14" s="21" t="inlineStr">
        <is>
          <t>EJ-2627-T010</t>
        </is>
      </c>
      <c r="C14" s="21" t="inlineStr">
        <is>
          <t>А.Мөнхнаран</t>
        </is>
      </c>
      <c r="D14" s="21" t="inlineStr">
        <is>
          <t>EJ-2627-6A</t>
        </is>
      </c>
      <c r="E14" s="21" t="inlineStr">
        <is>
          <t>6а</t>
        </is>
      </c>
      <c r="F14" s="21" t="inlineStr">
        <is>
          <t>ETHICS</t>
        </is>
      </c>
      <c r="G14" s="21" t="inlineStr">
        <is>
          <t>Иргэний ёс зүйн боловсрол</t>
        </is>
      </c>
      <c r="H14" s="21" t="inlineStr">
        <is>
          <t>Заадаг</t>
        </is>
      </c>
      <c r="I14" s="21" t="n"/>
    </row>
    <row r="15">
      <c r="A15" s="6" t="inlineStr">
        <is>
          <t>ЖИШЭЭ</t>
        </is>
      </c>
      <c r="B15" s="21" t="n"/>
      <c r="C15" s="21" t="n"/>
      <c r="D15" s="21" t="inlineStr">
        <is>
          <t>EJ-2627-6A</t>
        </is>
      </c>
      <c r="E15" s="21" t="inlineStr">
        <is>
          <t>6а</t>
        </is>
      </c>
      <c r="F15" s="21" t="inlineStr">
        <is>
          <t>ICT</t>
        </is>
      </c>
      <c r="G15" s="21" t="inlineStr">
        <is>
          <t>Мэдээллийн технологи</t>
        </is>
      </c>
      <c r="H15" s="21" t="inlineStr">
        <is>
          <t>Заадаг</t>
        </is>
      </c>
      <c r="I15" s="24" t="inlineStr">
        <is>
          <t>Бүртгэлд энэ хичээлийн багш олдсонгүй — хэн заахыг бөглөнө үү</t>
        </is>
      </c>
    </row>
    <row r="16">
      <c r="A16" s="6" t="inlineStr">
        <is>
          <t>ЖИШЭЭ</t>
        </is>
      </c>
      <c r="B16" s="21" t="n"/>
      <c r="C16" s="21" t="n"/>
      <c r="D16" s="21" t="inlineStr">
        <is>
          <t>EJ-2627-6A</t>
        </is>
      </c>
      <c r="E16" s="21" t="inlineStr">
        <is>
          <t>6а</t>
        </is>
      </c>
      <c r="F16" s="21" t="inlineStr">
        <is>
          <t>SCRIPT</t>
        </is>
      </c>
      <c r="G16" s="21" t="inlineStr">
        <is>
          <t>Үндэсний бичиг</t>
        </is>
      </c>
      <c r="H16" s="21" t="inlineStr">
        <is>
          <t>Заадаг</t>
        </is>
      </c>
      <c r="I16" s="24" t="inlineStr">
        <is>
          <t>Бүртгэлд энэ хичээлийн багш олдсонгүй — хэн заахыг бөглөнө үү</t>
        </is>
      </c>
    </row>
    <row r="42" ht="30" customHeight="1">
      <c r="A42" s="15" t="inlineStr">
        <is>
          <t>Хэрэгтэй зүйл: анги бүрийн заагдах хичээл бүрд нэг мөр — нийт 119 орчим мөр («07 Анги-хичээл-ном» хуудсыг үзнэ үү). Доорх хоосон мөрүүдэд шинэ мөр нэмж болно: «03 Багш» хуудасны тоолол 40-р мөр хүртэл автоматаар шинэчлэгдэнэ.</t>
        </is>
      </c>
    </row>
  </sheetData>
  <autoFilter ref="A5:I16"/>
  <mergeCells count="4">
    <mergeCell ref="A42:H42"/>
    <mergeCell ref="A3:H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2"/>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8" customWidth="1" min="3" max="3"/>
    <col width="16" customWidth="1" min="4" max="4"/>
    <col width="10" customWidth="1" min="5" max="5"/>
    <col width="10" customWidth="1" min="6" max="6"/>
    <col width="18" customWidth="1" min="7" max="7"/>
    <col width="16" customWidth="1" min="8" max="8"/>
    <col width="10" customWidth="1" min="9" max="9"/>
  </cols>
  <sheetData>
    <row r="1">
      <c r="A1" s="16" t="inlineStr">
        <is>
          <t>Сурагчид</t>
        </is>
      </c>
    </row>
    <row r="2" ht="44" customHeight="1">
      <c r="A2" s="2" t="inlineStr">
        <is>
          <t>247 сурагч анги бүртэйгээ холбогдож, нэвтрэх бүртгэл үүссэн. Энэ хэсэг бүрэн бэлэн.</t>
        </is>
      </c>
    </row>
    <row r="3">
      <c r="A3" s="17" t="inlineStr">
        <is>
          <t>БОДИТ ӨГӨГДӨЛ — баазад бүрэн орсон</t>
        </is>
      </c>
    </row>
    <row r="5" ht="32" customHeight="1">
      <c r="A5" s="18" t="inlineStr">
        <is>
          <t>Төлөв</t>
        </is>
      </c>
      <c r="B5" s="18" t="inlineStr">
        <is>
          <t>Сурагчийн код</t>
        </is>
      </c>
      <c r="C5" s="18" t="inlineStr">
        <is>
          <t>Овог нэр</t>
        </is>
      </c>
      <c r="D5" s="18" t="inlineStr">
        <is>
          <t>Ангийн код</t>
        </is>
      </c>
      <c r="E5" s="18" t="inlineStr">
        <is>
          <t>Анги</t>
        </is>
      </c>
      <c r="F5" s="18" t="inlineStr">
        <is>
          <t>Анги (тоо)</t>
        </is>
      </c>
      <c r="G5" s="18" t="inlineStr">
        <is>
          <t>Нэвтрэх нэр</t>
        </is>
      </c>
      <c r="H5" s="18" t="inlineStr">
        <is>
          <t>Гадаад код</t>
        </is>
      </c>
      <c r="I5" s="18" t="inlineStr">
        <is>
          <t>Идэвхтэй</t>
        </is>
      </c>
    </row>
    <row r="6">
      <c r="A6" s="19" t="inlineStr">
        <is>
          <t>БОДИТ</t>
        </is>
      </c>
      <c r="B6" s="20" t="inlineStr">
        <is>
          <t>EJ-2627-S0006</t>
        </is>
      </c>
      <c r="C6" s="20" t="inlineStr">
        <is>
          <t>Алтаншагай Маргад</t>
        </is>
      </c>
      <c r="D6" s="20" t="inlineStr">
        <is>
          <t>EJ-2627-1A</t>
        </is>
      </c>
      <c r="E6" s="20" t="inlineStr">
        <is>
          <t>1а</t>
        </is>
      </c>
      <c r="F6" s="20" t="n">
        <v>1</v>
      </c>
      <c r="G6" s="20" t="inlineStr">
        <is>
          <t>ej26s0006</t>
        </is>
      </c>
      <c r="H6" s="20" t="inlineStr">
        <is>
          <t>УЦ20320921</t>
        </is>
      </c>
      <c r="I6" s="20" t="inlineStr">
        <is>
          <t>Тийм</t>
        </is>
      </c>
    </row>
    <row r="7">
      <c r="A7" s="19" t="inlineStr">
        <is>
          <t>БОДИТ</t>
        </is>
      </c>
      <c r="B7" s="20" t="inlineStr">
        <is>
          <t>EJ-2627-S0007</t>
        </is>
      </c>
      <c r="C7" s="20" t="inlineStr">
        <is>
          <t>Амарболд Ялгуунгоо</t>
        </is>
      </c>
      <c r="D7" s="20" t="inlineStr">
        <is>
          <t>EJ-2627-1A</t>
        </is>
      </c>
      <c r="E7" s="20" t="inlineStr">
        <is>
          <t>1а</t>
        </is>
      </c>
      <c r="F7" s="20" t="n">
        <v>1</v>
      </c>
      <c r="G7" s="20" t="inlineStr">
        <is>
          <t>ej26s0007</t>
        </is>
      </c>
      <c r="H7" s="20" t="inlineStr">
        <is>
          <t>ТА20320523</t>
        </is>
      </c>
      <c r="I7" s="20" t="inlineStr">
        <is>
          <t>Тийм</t>
        </is>
      </c>
    </row>
    <row r="8">
      <c r="A8" s="19" t="inlineStr">
        <is>
          <t>БОДИТ</t>
        </is>
      </c>
      <c r="B8" s="20" t="inlineStr">
        <is>
          <t>EJ-2627-S0012</t>
        </is>
      </c>
      <c r="C8" s="20" t="inlineStr">
        <is>
          <t>Анхбаяр Өнөмандах</t>
        </is>
      </c>
      <c r="D8" s="20" t="inlineStr">
        <is>
          <t>EJ-2627-1A</t>
        </is>
      </c>
      <c r="E8" s="20" t="inlineStr">
        <is>
          <t>1а</t>
        </is>
      </c>
      <c r="F8" s="20" t="n">
        <v>1</v>
      </c>
      <c r="G8" s="20" t="inlineStr">
        <is>
          <t>ej26s0012</t>
        </is>
      </c>
      <c r="H8" s="20" t="inlineStr">
        <is>
          <t>УШ20250734</t>
        </is>
      </c>
      <c r="I8" s="20" t="inlineStr">
        <is>
          <t>Тийм</t>
        </is>
      </c>
    </row>
    <row r="9">
      <c r="A9" s="19" t="inlineStr">
        <is>
          <t>БОДИТ</t>
        </is>
      </c>
      <c r="B9" s="20" t="inlineStr">
        <is>
          <t>EJ-2627-S0002</t>
        </is>
      </c>
      <c r="C9" s="20" t="inlineStr">
        <is>
          <t>Анхсүрэн Мөнхсүрэн</t>
        </is>
      </c>
      <c r="D9" s="20" t="inlineStr">
        <is>
          <t>EJ-2627-1A</t>
        </is>
      </c>
      <c r="E9" s="20" t="inlineStr">
        <is>
          <t>1а</t>
        </is>
      </c>
      <c r="F9" s="20" t="n">
        <v>1</v>
      </c>
      <c r="G9" s="20" t="inlineStr">
        <is>
          <t>ej26s0002</t>
        </is>
      </c>
      <c r="H9" s="20" t="inlineStr">
        <is>
          <t>УШ20261570</t>
        </is>
      </c>
      <c r="I9" s="20" t="inlineStr">
        <is>
          <t>Тийм</t>
        </is>
      </c>
    </row>
    <row r="10">
      <c r="A10" s="19" t="inlineStr">
        <is>
          <t>БОДИТ</t>
        </is>
      </c>
      <c r="B10" s="20" t="inlineStr">
        <is>
          <t>EJ-2627-S0014</t>
        </is>
      </c>
      <c r="C10" s="20" t="inlineStr">
        <is>
          <t>Батбаяр Төгөлдөрбуян</t>
        </is>
      </c>
      <c r="D10" s="20" t="inlineStr">
        <is>
          <t>EJ-2627-1A</t>
        </is>
      </c>
      <c r="E10" s="20" t="inlineStr">
        <is>
          <t>1а</t>
        </is>
      </c>
      <c r="F10" s="20" t="n">
        <v>1</v>
      </c>
      <c r="G10" s="20" t="inlineStr">
        <is>
          <t>ej26s0014</t>
        </is>
      </c>
      <c r="H10" s="20" t="inlineStr">
        <is>
          <t>УВ20291691</t>
        </is>
      </c>
      <c r="I10" s="20" t="inlineStr">
        <is>
          <t>Тийм</t>
        </is>
      </c>
    </row>
    <row r="11">
      <c r="A11" s="19" t="inlineStr">
        <is>
          <t>БОДИТ</t>
        </is>
      </c>
      <c r="B11" s="20" t="inlineStr">
        <is>
          <t>EJ-2627-S0013</t>
        </is>
      </c>
      <c r="C11" s="20" t="inlineStr">
        <is>
          <t>Батзориг Амингоо</t>
        </is>
      </c>
      <c r="D11" s="20" t="inlineStr">
        <is>
          <t>EJ-2627-1A</t>
        </is>
      </c>
      <c r="E11" s="20" t="inlineStr">
        <is>
          <t>1а</t>
        </is>
      </c>
      <c r="F11" s="20" t="n">
        <v>1</v>
      </c>
      <c r="G11" s="20" t="inlineStr">
        <is>
          <t>ej26s0013</t>
        </is>
      </c>
      <c r="H11" s="20" t="inlineStr">
        <is>
          <t>УК20232369</t>
        </is>
      </c>
      <c r="I11" s="20" t="inlineStr">
        <is>
          <t>Тийм</t>
        </is>
      </c>
    </row>
    <row r="12">
      <c r="A12" s="19" t="inlineStr">
        <is>
          <t>БОДИТ</t>
        </is>
      </c>
      <c r="B12" s="20" t="inlineStr">
        <is>
          <t>EJ-2627-S0003</t>
        </is>
      </c>
      <c r="C12" s="20" t="inlineStr">
        <is>
          <t>Батнасан Гуамарал</t>
        </is>
      </c>
      <c r="D12" s="20" t="inlineStr">
        <is>
          <t>EJ-2627-1A</t>
        </is>
      </c>
      <c r="E12" s="20" t="inlineStr">
        <is>
          <t>1а</t>
        </is>
      </c>
      <c r="F12" s="20" t="n">
        <v>1</v>
      </c>
      <c r="G12" s="20" t="inlineStr">
        <is>
          <t>ej26s0003</t>
        </is>
      </c>
      <c r="H12" s="20" t="inlineStr">
        <is>
          <t>ун20291861</t>
        </is>
      </c>
      <c r="I12" s="20" t="inlineStr">
        <is>
          <t>Тийм</t>
        </is>
      </c>
    </row>
    <row r="13">
      <c r="A13" s="19" t="inlineStr">
        <is>
          <t>БОДИТ</t>
        </is>
      </c>
      <c r="B13" s="20" t="inlineStr">
        <is>
          <t>EJ-2627-S0001</t>
        </is>
      </c>
      <c r="C13" s="20" t="inlineStr">
        <is>
          <t>Баттулга Энхлэн</t>
        </is>
      </c>
      <c r="D13" s="20" t="inlineStr">
        <is>
          <t>EJ-2627-1A</t>
        </is>
      </c>
      <c r="E13" s="20" t="inlineStr">
        <is>
          <t>1а</t>
        </is>
      </c>
      <c r="F13" s="20" t="n">
        <v>1</v>
      </c>
      <c r="G13" s="20" t="inlineStr">
        <is>
          <t>ej26s0001</t>
        </is>
      </c>
      <c r="H13" s="20" t="inlineStr">
        <is>
          <t>ФЭ20232461</t>
        </is>
      </c>
      <c r="I13" s="20" t="inlineStr">
        <is>
          <t>Тийм</t>
        </is>
      </c>
    </row>
    <row r="14">
      <c r="A14" s="19" t="inlineStr">
        <is>
          <t>БОДИТ</t>
        </is>
      </c>
      <c r="B14" s="20" t="inlineStr">
        <is>
          <t>EJ-2627-S0005</t>
        </is>
      </c>
      <c r="C14" s="20" t="inlineStr">
        <is>
          <t>Баттүшиг Бэлгүдэй</t>
        </is>
      </c>
      <c r="D14" s="20" t="inlineStr">
        <is>
          <t>EJ-2627-1A</t>
        </is>
      </c>
      <c r="E14" s="20" t="inlineStr">
        <is>
          <t>1а</t>
        </is>
      </c>
      <c r="F14" s="20" t="n">
        <v>1</v>
      </c>
      <c r="G14" s="20" t="inlineStr">
        <is>
          <t>ej26s0005</t>
        </is>
      </c>
      <c r="H14" s="20" t="inlineStr">
        <is>
          <t>ЩК20302312</t>
        </is>
      </c>
      <c r="I14" s="20" t="inlineStr">
        <is>
          <t>Тийм</t>
        </is>
      </c>
    </row>
    <row r="15">
      <c r="A15" s="19" t="inlineStr">
        <is>
          <t>БОДИТ</t>
        </is>
      </c>
      <c r="B15" s="20" t="inlineStr">
        <is>
          <t>EJ-2627-S0004</t>
        </is>
      </c>
      <c r="C15" s="20" t="inlineStr">
        <is>
          <t>Идэрцогт Бишрэлтбаяр</t>
        </is>
      </c>
      <c r="D15" s="20" t="inlineStr">
        <is>
          <t>EJ-2627-1A</t>
        </is>
      </c>
      <c r="E15" s="20" t="inlineStr">
        <is>
          <t>1а</t>
        </is>
      </c>
      <c r="F15" s="20" t="n">
        <v>1</v>
      </c>
      <c r="G15" s="20" t="inlineStr">
        <is>
          <t>ej26s0004</t>
        </is>
      </c>
      <c r="H15" s="20" t="inlineStr">
        <is>
          <t>УП20301334</t>
        </is>
      </c>
      <c r="I15" s="20" t="inlineStr">
        <is>
          <t>Тийм</t>
        </is>
      </c>
    </row>
    <row r="16">
      <c r="A16" s="19" t="inlineStr">
        <is>
          <t>БОДИТ</t>
        </is>
      </c>
      <c r="B16" s="20" t="inlineStr">
        <is>
          <t>EJ-2627-S0011</t>
        </is>
      </c>
      <c r="C16" s="20" t="inlineStr">
        <is>
          <t>Ихбаяр Энх-Үжин</t>
        </is>
      </c>
      <c r="D16" s="20" t="inlineStr">
        <is>
          <t>EJ-2627-1A</t>
        </is>
      </c>
      <c r="E16" s="20" t="inlineStr">
        <is>
          <t>1а</t>
        </is>
      </c>
      <c r="F16" s="20" t="n">
        <v>1</v>
      </c>
      <c r="G16" s="20" t="inlineStr">
        <is>
          <t>ej26s0011</t>
        </is>
      </c>
      <c r="H16" s="20" t="inlineStr">
        <is>
          <t>УВ20281047</t>
        </is>
      </c>
      <c r="I16" s="20" t="inlineStr">
        <is>
          <t>Тийм</t>
        </is>
      </c>
    </row>
    <row r="17">
      <c r="A17" s="19" t="inlineStr">
        <is>
          <t>БОДИТ</t>
        </is>
      </c>
      <c r="B17" s="20" t="inlineStr">
        <is>
          <t>EJ-2627-S0009</t>
        </is>
      </c>
      <c r="C17" s="20" t="inlineStr">
        <is>
          <t>Ичинхорол Аззаяа</t>
        </is>
      </c>
      <c r="D17" s="20" t="inlineStr">
        <is>
          <t>EJ-2627-1A</t>
        </is>
      </c>
      <c r="E17" s="20" t="inlineStr">
        <is>
          <t>1а</t>
        </is>
      </c>
      <c r="F17" s="20" t="n">
        <v>1</v>
      </c>
      <c r="G17" s="20" t="inlineStr">
        <is>
          <t>ej26s0009</t>
        </is>
      </c>
      <c r="H17" s="20" t="inlineStr">
        <is>
          <t>УШ20300403</t>
        </is>
      </c>
      <c r="I17" s="20" t="inlineStr">
        <is>
          <t>Тийм</t>
        </is>
      </c>
    </row>
    <row r="18">
      <c r="A18" s="19" t="inlineStr">
        <is>
          <t>БОДИТ</t>
        </is>
      </c>
      <c r="B18" s="20" t="inlineStr">
        <is>
          <t>EJ-2627-S0008</t>
        </is>
      </c>
      <c r="C18" s="20" t="inlineStr">
        <is>
          <t>Лхагвадорж Энгүүн</t>
        </is>
      </c>
      <c r="D18" s="20" t="inlineStr">
        <is>
          <t>EJ-2627-1A</t>
        </is>
      </c>
      <c r="E18" s="20" t="inlineStr">
        <is>
          <t>1а</t>
        </is>
      </c>
      <c r="F18" s="20" t="n">
        <v>1</v>
      </c>
      <c r="G18" s="20" t="inlineStr">
        <is>
          <t>ej26s0008</t>
        </is>
      </c>
      <c r="H18" s="20" t="inlineStr">
        <is>
          <t>ЙЮ20311607</t>
        </is>
      </c>
      <c r="I18" s="20" t="inlineStr">
        <is>
          <t>Тийм</t>
        </is>
      </c>
    </row>
    <row r="19">
      <c r="A19" s="19" t="inlineStr">
        <is>
          <t>БОДИТ</t>
        </is>
      </c>
      <c r="B19" s="20" t="inlineStr">
        <is>
          <t>EJ-2627-S0010</t>
        </is>
      </c>
      <c r="C19" s="20" t="inlineStr">
        <is>
          <t>Ууганбаяр Минжин</t>
        </is>
      </c>
      <c r="D19" s="20" t="inlineStr">
        <is>
          <t>EJ-2627-1A</t>
        </is>
      </c>
      <c r="E19" s="20" t="inlineStr">
        <is>
          <t>1а</t>
        </is>
      </c>
      <c r="F19" s="20" t="n">
        <v>1</v>
      </c>
      <c r="G19" s="20" t="inlineStr">
        <is>
          <t>ej26s0010</t>
        </is>
      </c>
      <c r="H19" s="20" t="inlineStr">
        <is>
          <t>УР20260308</t>
        </is>
      </c>
      <c r="I19" s="20" t="inlineStr">
        <is>
          <t>Тийм</t>
        </is>
      </c>
    </row>
    <row r="20">
      <c r="A20" s="19" t="inlineStr">
        <is>
          <t>БОДИТ</t>
        </is>
      </c>
      <c r="B20" s="20" t="inlineStr">
        <is>
          <t>EJ-2627-S0026</t>
        </is>
      </c>
      <c r="C20" s="20" t="inlineStr">
        <is>
          <t>Амарзаяа Түвшин</t>
        </is>
      </c>
      <c r="D20" s="20" t="inlineStr">
        <is>
          <t>EJ-2627-2A</t>
        </is>
      </c>
      <c r="E20" s="20" t="inlineStr">
        <is>
          <t>2а</t>
        </is>
      </c>
      <c r="F20" s="20" t="n">
        <v>2</v>
      </c>
      <c r="G20" s="20" t="inlineStr">
        <is>
          <t>ej26s0026</t>
        </is>
      </c>
      <c r="H20" s="20" t="inlineStr">
        <is>
          <t>АЮ19303111</t>
        </is>
      </c>
      <c r="I20" s="20" t="inlineStr">
        <is>
          <t>Тийм</t>
        </is>
      </c>
    </row>
    <row r="21">
      <c r="A21" s="19" t="inlineStr">
        <is>
          <t>БОДИТ</t>
        </is>
      </c>
      <c r="B21" s="20" t="inlineStr">
        <is>
          <t>EJ-2627-S0030</t>
        </is>
      </c>
      <c r="C21" s="20" t="inlineStr">
        <is>
          <t>Баасанжаргал Тэлмэн</t>
        </is>
      </c>
      <c r="D21" s="20" t="inlineStr">
        <is>
          <t>EJ-2627-2A</t>
        </is>
      </c>
      <c r="E21" s="20" t="inlineStr">
        <is>
          <t>2а</t>
        </is>
      </c>
      <c r="F21" s="20" t="n">
        <v>2</v>
      </c>
      <c r="G21" s="20" t="inlineStr">
        <is>
          <t>ej26s0030</t>
        </is>
      </c>
      <c r="H21" s="20" t="inlineStr">
        <is>
          <t>УШ19290715</t>
        </is>
      </c>
      <c r="I21" s="20" t="inlineStr">
        <is>
          <t>Тийм</t>
        </is>
      </c>
    </row>
    <row r="22">
      <c r="A22" s="19" t="inlineStr">
        <is>
          <t>БОДИТ</t>
        </is>
      </c>
      <c r="B22" s="20" t="inlineStr">
        <is>
          <t>EJ-2627-S0018</t>
        </is>
      </c>
      <c r="C22" s="20" t="inlineStr">
        <is>
          <t>Батбаяр Гэгээнзул</t>
        </is>
      </c>
      <c r="D22" s="20" t="inlineStr">
        <is>
          <t>EJ-2627-2A</t>
        </is>
      </c>
      <c r="E22" s="20" t="inlineStr">
        <is>
          <t>2а</t>
        </is>
      </c>
      <c r="F22" s="20" t="n">
        <v>2</v>
      </c>
      <c r="G22" s="20" t="inlineStr">
        <is>
          <t>ej26s0018</t>
        </is>
      </c>
      <c r="H22" s="20" t="inlineStr">
        <is>
          <t>ОО19222625</t>
        </is>
      </c>
      <c r="I22" s="20" t="inlineStr">
        <is>
          <t>Тийм</t>
        </is>
      </c>
    </row>
    <row r="23">
      <c r="A23" s="19" t="inlineStr">
        <is>
          <t>БОДИТ</t>
        </is>
      </c>
      <c r="B23" s="20" t="inlineStr">
        <is>
          <t>EJ-2627-S0025</t>
        </is>
      </c>
      <c r="C23" s="20" t="inlineStr">
        <is>
          <t>Баттулга Содонгоо</t>
        </is>
      </c>
      <c r="D23" s="20" t="inlineStr">
        <is>
          <t>EJ-2627-2A</t>
        </is>
      </c>
      <c r="E23" s="20" t="inlineStr">
        <is>
          <t>2а</t>
        </is>
      </c>
      <c r="F23" s="20" t="n">
        <v>2</v>
      </c>
      <c r="G23" s="20" t="inlineStr">
        <is>
          <t>ej26s0025</t>
        </is>
      </c>
      <c r="H23" s="20" t="inlineStr">
        <is>
          <t>УА19280906</t>
        </is>
      </c>
      <c r="I23" s="20" t="inlineStr">
        <is>
          <t>Тийм</t>
        </is>
      </c>
    </row>
    <row r="24">
      <c r="A24" s="19" t="inlineStr">
        <is>
          <t>БОДИТ</t>
        </is>
      </c>
      <c r="B24" s="20" t="inlineStr">
        <is>
          <t>EJ-2627-S0022</t>
        </is>
      </c>
      <c r="C24" s="20" t="inlineStr">
        <is>
          <t>Батхүү Мөнхбаясгалан</t>
        </is>
      </c>
      <c r="D24" s="20" t="inlineStr">
        <is>
          <t>EJ-2627-2A</t>
        </is>
      </c>
      <c r="E24" s="20" t="inlineStr">
        <is>
          <t>2а</t>
        </is>
      </c>
      <c r="F24" s="20" t="n">
        <v>2</v>
      </c>
      <c r="G24" s="20" t="inlineStr">
        <is>
          <t>ej26s0022</t>
        </is>
      </c>
      <c r="H24" s="20" t="inlineStr">
        <is>
          <t>ЩТ19320502</t>
        </is>
      </c>
      <c r="I24" s="20" t="inlineStr">
        <is>
          <t>Тийм</t>
        </is>
      </c>
    </row>
    <row r="25">
      <c r="A25" s="19" t="inlineStr">
        <is>
          <t>БОДИТ</t>
        </is>
      </c>
      <c r="B25" s="20" t="inlineStr">
        <is>
          <t>EJ-2627-S0033</t>
        </is>
      </c>
      <c r="C25" s="20" t="inlineStr">
        <is>
          <t>Баярбаатар Гэгээн</t>
        </is>
      </c>
      <c r="D25" s="20" t="inlineStr">
        <is>
          <t>EJ-2627-2A</t>
        </is>
      </c>
      <c r="E25" s="20" t="inlineStr">
        <is>
          <t>2а</t>
        </is>
      </c>
      <c r="F25" s="20" t="n">
        <v>2</v>
      </c>
      <c r="G25" s="20" t="inlineStr">
        <is>
          <t>ej26s0033</t>
        </is>
      </c>
      <c r="H25" s="20" t="inlineStr">
        <is>
          <t>ЩК19271201</t>
        </is>
      </c>
      <c r="I25" s="20" t="inlineStr">
        <is>
          <t>Тийм</t>
        </is>
      </c>
    </row>
    <row r="26">
      <c r="A26" s="19" t="inlineStr">
        <is>
          <t>БОДИТ</t>
        </is>
      </c>
      <c r="B26" s="20" t="inlineStr">
        <is>
          <t>EJ-2627-S0016</t>
        </is>
      </c>
      <c r="C26" s="20" t="inlineStr">
        <is>
          <t>Ганбаяр Аригун</t>
        </is>
      </c>
      <c r="D26" s="20" t="inlineStr">
        <is>
          <t>EJ-2627-2A</t>
        </is>
      </c>
      <c r="E26" s="20" t="inlineStr">
        <is>
          <t>2а</t>
        </is>
      </c>
      <c r="F26" s="20" t="n">
        <v>2</v>
      </c>
      <c r="G26" s="20" t="inlineStr">
        <is>
          <t>ej26s0016</t>
        </is>
      </c>
      <c r="H26" s="20" t="inlineStr">
        <is>
          <t>УК19271997</t>
        </is>
      </c>
      <c r="I26" s="20" t="inlineStr">
        <is>
          <t>Тийм</t>
        </is>
      </c>
    </row>
    <row r="27">
      <c r="A27" s="19" t="inlineStr">
        <is>
          <t>БОДИТ</t>
        </is>
      </c>
      <c r="B27" s="20" t="inlineStr">
        <is>
          <t>EJ-2627-S0021</t>
        </is>
      </c>
      <c r="C27" s="20" t="inlineStr">
        <is>
          <t>Гэрэлцогт Лүндээжанцан</t>
        </is>
      </c>
      <c r="D27" s="20" t="inlineStr">
        <is>
          <t>EJ-2627-2A</t>
        </is>
      </c>
      <c r="E27" s="20" t="inlineStr">
        <is>
          <t>2а</t>
        </is>
      </c>
      <c r="F27" s="20" t="n">
        <v>2</v>
      </c>
      <c r="G27" s="20" t="inlineStr">
        <is>
          <t>ej26s0021</t>
        </is>
      </c>
      <c r="H27" s="20" t="inlineStr">
        <is>
          <t>АК19322391</t>
        </is>
      </c>
      <c r="I27" s="20" t="inlineStr">
        <is>
          <t>Тийм</t>
        </is>
      </c>
    </row>
    <row r="28">
      <c r="A28" s="19" t="inlineStr">
        <is>
          <t>БОДИТ</t>
        </is>
      </c>
      <c r="B28" s="20" t="inlineStr">
        <is>
          <t>EJ-2627-S0020</t>
        </is>
      </c>
      <c r="C28" s="20" t="inlineStr">
        <is>
          <t>Итгэл Индра</t>
        </is>
      </c>
      <c r="D28" s="20" t="inlineStr">
        <is>
          <t>EJ-2627-2A</t>
        </is>
      </c>
      <c r="E28" s="20" t="inlineStr">
        <is>
          <t>2а</t>
        </is>
      </c>
      <c r="F28" s="20" t="n">
        <v>2</v>
      </c>
      <c r="G28" s="20" t="inlineStr">
        <is>
          <t>ej26s0020</t>
        </is>
      </c>
      <c r="H28" s="20" t="inlineStr">
        <is>
          <t>УЗ19230506</t>
        </is>
      </c>
      <c r="I28" s="20" t="inlineStr">
        <is>
          <t>Тийм</t>
        </is>
      </c>
    </row>
    <row r="29">
      <c r="A29" s="19" t="inlineStr">
        <is>
          <t>БОДИТ</t>
        </is>
      </c>
      <c r="B29" s="20" t="inlineStr">
        <is>
          <t>EJ-2627-S0035</t>
        </is>
      </c>
      <c r="C29" s="20" t="inlineStr">
        <is>
          <t>Одончимэг Гэгээнхүслэн</t>
        </is>
      </c>
      <c r="D29" s="20" t="inlineStr">
        <is>
          <t>EJ-2627-2A</t>
        </is>
      </c>
      <c r="E29" s="20" t="inlineStr">
        <is>
          <t>2а</t>
        </is>
      </c>
      <c r="F29" s="20" t="n">
        <v>2</v>
      </c>
      <c r="G29" s="20" t="inlineStr">
        <is>
          <t>ej26s0035</t>
        </is>
      </c>
      <c r="H29" s="20" t="inlineStr">
        <is>
          <t>НШ19322428</t>
        </is>
      </c>
      <c r="I29" s="20" t="inlineStr">
        <is>
          <t>Тийм</t>
        </is>
      </c>
    </row>
    <row r="30">
      <c r="A30" s="19" t="inlineStr">
        <is>
          <t>БОДИТ</t>
        </is>
      </c>
      <c r="B30" s="20" t="inlineStr">
        <is>
          <t>EJ-2627-S0031</t>
        </is>
      </c>
      <c r="C30" s="20" t="inlineStr">
        <is>
          <t>Оргилбаяр Эрхэмбаяр</t>
        </is>
      </c>
      <c r="D30" s="20" t="inlineStr">
        <is>
          <t>EJ-2627-2A</t>
        </is>
      </c>
      <c r="E30" s="20" t="inlineStr">
        <is>
          <t>2а</t>
        </is>
      </c>
      <c r="F30" s="20" t="n">
        <v>2</v>
      </c>
      <c r="G30" s="20" t="inlineStr">
        <is>
          <t>ej26s0031</t>
        </is>
      </c>
      <c r="H30" s="20" t="inlineStr">
        <is>
          <t>ЩЙ18250818</t>
        </is>
      </c>
      <c r="I30" s="20" t="inlineStr">
        <is>
          <t>Тийм</t>
        </is>
      </c>
    </row>
    <row r="31">
      <c r="A31" s="19" t="inlineStr">
        <is>
          <t>БОДИТ</t>
        </is>
      </c>
      <c r="B31" s="20" t="inlineStr">
        <is>
          <t>EJ-2627-S0029</t>
        </is>
      </c>
      <c r="C31" s="20" t="inlineStr">
        <is>
          <t>Отгонбаяр Энхзаяа</t>
        </is>
      </c>
      <c r="D31" s="20" t="inlineStr">
        <is>
          <t>EJ-2627-2A</t>
        </is>
      </c>
      <c r="E31" s="20" t="inlineStr">
        <is>
          <t>2а</t>
        </is>
      </c>
      <c r="F31" s="20" t="n">
        <v>2</v>
      </c>
      <c r="G31" s="20" t="inlineStr">
        <is>
          <t>ej26s0029</t>
        </is>
      </c>
      <c r="H31" s="20" t="inlineStr">
        <is>
          <t>УЖ19320787</t>
        </is>
      </c>
      <c r="I31" s="20" t="inlineStr">
        <is>
          <t>Тийм</t>
        </is>
      </c>
    </row>
    <row r="32">
      <c r="A32" s="19" t="inlineStr">
        <is>
          <t>БОДИТ</t>
        </is>
      </c>
      <c r="B32" s="20" t="inlineStr">
        <is>
          <t>EJ-2627-S0034</t>
        </is>
      </c>
      <c r="C32" s="20" t="inlineStr">
        <is>
          <t>Отгонтөгс Номунгоо</t>
        </is>
      </c>
      <c r="D32" s="20" t="inlineStr">
        <is>
          <t>EJ-2627-2A</t>
        </is>
      </c>
      <c r="E32" s="20" t="inlineStr">
        <is>
          <t>2а</t>
        </is>
      </c>
      <c r="F32" s="20" t="n">
        <v>2</v>
      </c>
      <c r="G32" s="20" t="inlineStr">
        <is>
          <t>ej26s0034</t>
        </is>
      </c>
      <c r="H32" s="20" t="inlineStr">
        <is>
          <t>УН19240926</t>
        </is>
      </c>
      <c r="I32" s="20" t="inlineStr">
        <is>
          <t>Тийм</t>
        </is>
      </c>
    </row>
    <row r="33">
      <c r="A33" s="19" t="inlineStr">
        <is>
          <t>БОДИТ</t>
        </is>
      </c>
      <c r="B33" s="20" t="inlineStr">
        <is>
          <t>EJ-2627-S0019</t>
        </is>
      </c>
      <c r="C33" s="20" t="inlineStr">
        <is>
          <t>Очирсүх Есүй-Үжин</t>
        </is>
      </c>
      <c r="D33" s="20" t="inlineStr">
        <is>
          <t>EJ-2627-2A</t>
        </is>
      </c>
      <c r="E33" s="20" t="inlineStr">
        <is>
          <t>2а</t>
        </is>
      </c>
      <c r="F33" s="20" t="n">
        <v>2</v>
      </c>
      <c r="G33" s="20" t="inlineStr">
        <is>
          <t>ej26s0019</t>
        </is>
      </c>
      <c r="H33" s="20" t="inlineStr">
        <is>
          <t>УИ19312640</t>
        </is>
      </c>
      <c r="I33" s="20" t="inlineStr">
        <is>
          <t>Тийм</t>
        </is>
      </c>
    </row>
    <row r="34">
      <c r="A34" s="19" t="inlineStr">
        <is>
          <t>БОДИТ</t>
        </is>
      </c>
      <c r="B34" s="20" t="inlineStr">
        <is>
          <t>EJ-2627-S0036</t>
        </is>
      </c>
      <c r="C34" s="20" t="inlineStr">
        <is>
          <t>Пүрэвсүрэн Буяннэмэх</t>
        </is>
      </c>
      <c r="D34" s="20" t="inlineStr">
        <is>
          <t>EJ-2627-2A</t>
        </is>
      </c>
      <c r="E34" s="20" t="inlineStr">
        <is>
          <t>2а</t>
        </is>
      </c>
      <c r="F34" s="20" t="n">
        <v>2</v>
      </c>
      <c r="G34" s="20" t="inlineStr">
        <is>
          <t>ej26s0036</t>
        </is>
      </c>
      <c r="H34" s="20" t="inlineStr">
        <is>
          <t>УК19301016</t>
        </is>
      </c>
      <c r="I34" s="20" t="inlineStr">
        <is>
          <t>Тийм</t>
        </is>
      </c>
    </row>
    <row r="35">
      <c r="A35" s="19" t="inlineStr">
        <is>
          <t>БОДИТ</t>
        </is>
      </c>
      <c r="B35" s="20" t="inlineStr">
        <is>
          <t>EJ-2627-S0017</t>
        </is>
      </c>
      <c r="C35" s="20" t="inlineStr">
        <is>
          <t>Төгөлдөр Ач-Энэрэлт</t>
        </is>
      </c>
      <c r="D35" s="20" t="inlineStr">
        <is>
          <t>EJ-2627-2A</t>
        </is>
      </c>
      <c r="E35" s="20" t="inlineStr">
        <is>
          <t>2а</t>
        </is>
      </c>
      <c r="F35" s="20" t="n">
        <v>2</v>
      </c>
      <c r="G35" s="20" t="inlineStr">
        <is>
          <t>ej26s0017</t>
        </is>
      </c>
      <c r="H35" s="20" t="inlineStr">
        <is>
          <t>УЗ19240299</t>
        </is>
      </c>
      <c r="I35" s="20" t="inlineStr">
        <is>
          <t>Тийм</t>
        </is>
      </c>
    </row>
    <row r="36">
      <c r="A36" s="19" t="inlineStr">
        <is>
          <t>БОДИТ</t>
        </is>
      </c>
      <c r="B36" s="20" t="inlineStr">
        <is>
          <t>EJ-2627-S0032</t>
        </is>
      </c>
      <c r="C36" s="20" t="inlineStr">
        <is>
          <t>Хангал Наран-Эрдэнэ</t>
        </is>
      </c>
      <c r="D36" s="20" t="inlineStr">
        <is>
          <t>EJ-2627-2A</t>
        </is>
      </c>
      <c r="E36" s="20" t="inlineStr">
        <is>
          <t>2а</t>
        </is>
      </c>
      <c r="F36" s="20" t="n">
        <v>2</v>
      </c>
      <c r="G36" s="20" t="inlineStr">
        <is>
          <t>ej26s0032</t>
        </is>
      </c>
      <c r="H36" s="20" t="inlineStr">
        <is>
          <t>УЛ19243025</t>
        </is>
      </c>
      <c r="I36" s="20" t="inlineStr">
        <is>
          <t>Тийм</t>
        </is>
      </c>
    </row>
    <row r="37">
      <c r="A37" s="19" t="inlineStr">
        <is>
          <t>БОДИТ</t>
        </is>
      </c>
      <c r="B37" s="20" t="inlineStr">
        <is>
          <t>EJ-2627-S0015</t>
        </is>
      </c>
      <c r="C37" s="20" t="inlineStr">
        <is>
          <t>Хишигбаатар Амин-Эрдэнэ</t>
        </is>
      </c>
      <c r="D37" s="20" t="inlineStr">
        <is>
          <t>EJ-2627-2A</t>
        </is>
      </c>
      <c r="E37" s="20" t="inlineStr">
        <is>
          <t>2а</t>
        </is>
      </c>
      <c r="F37" s="20" t="n">
        <v>2</v>
      </c>
      <c r="G37" s="20" t="inlineStr">
        <is>
          <t>ej26s0015</t>
        </is>
      </c>
      <c r="H37" s="20" t="inlineStr">
        <is>
          <t>ЩС19240604</t>
        </is>
      </c>
      <c r="I37" s="20" t="inlineStr">
        <is>
          <t>Тийм</t>
        </is>
      </c>
    </row>
    <row r="38">
      <c r="A38" s="19" t="inlineStr">
        <is>
          <t>БОДИТ</t>
        </is>
      </c>
      <c r="B38" s="20" t="inlineStr">
        <is>
          <t>EJ-2627-S0027</t>
        </is>
      </c>
      <c r="C38" s="20" t="inlineStr">
        <is>
          <t>Цогтсайхан Уранзаяа</t>
        </is>
      </c>
      <c r="D38" s="20" t="inlineStr">
        <is>
          <t>EJ-2627-2A</t>
        </is>
      </c>
      <c r="E38" s="20" t="inlineStr">
        <is>
          <t>2а</t>
        </is>
      </c>
      <c r="F38" s="20" t="n">
        <v>2</v>
      </c>
      <c r="G38" s="20" t="inlineStr">
        <is>
          <t>ej26s0027</t>
        </is>
      </c>
      <c r="H38" s="20" t="inlineStr">
        <is>
          <t>УЖ19271909</t>
        </is>
      </c>
      <c r="I38" s="20" t="inlineStr">
        <is>
          <t>Тийм</t>
        </is>
      </c>
    </row>
    <row r="39">
      <c r="A39" s="19" t="inlineStr">
        <is>
          <t>БОДИТ</t>
        </is>
      </c>
      <c r="B39" s="20" t="inlineStr">
        <is>
          <t>EJ-2627-S0028</t>
        </is>
      </c>
      <c r="C39" s="20" t="inlineStr">
        <is>
          <t>Энхдэлгэр Чингүн-Од</t>
        </is>
      </c>
      <c r="D39" s="20" t="inlineStr">
        <is>
          <t>EJ-2627-2A</t>
        </is>
      </c>
      <c r="E39" s="20" t="inlineStr">
        <is>
          <t>2а</t>
        </is>
      </c>
      <c r="F39" s="20" t="n">
        <v>2</v>
      </c>
      <c r="G39" s="20" t="inlineStr">
        <is>
          <t>ej26s0028</t>
        </is>
      </c>
      <c r="H39" s="20" t="inlineStr">
        <is>
          <t>УВ19291876</t>
        </is>
      </c>
      <c r="I39" s="20" t="inlineStr">
        <is>
          <t>Тийм</t>
        </is>
      </c>
    </row>
    <row r="40">
      <c r="A40" s="19" t="inlineStr">
        <is>
          <t>БОДИТ</t>
        </is>
      </c>
      <c r="B40" s="20" t="inlineStr">
        <is>
          <t>EJ-2627-S0024</t>
        </is>
      </c>
      <c r="C40" s="20" t="inlineStr">
        <is>
          <t>Энхжаргал Очир</t>
        </is>
      </c>
      <c r="D40" s="20" t="inlineStr">
        <is>
          <t>EJ-2627-2A</t>
        </is>
      </c>
      <c r="E40" s="20" t="inlineStr">
        <is>
          <t>2а</t>
        </is>
      </c>
      <c r="F40" s="20" t="n">
        <v>2</v>
      </c>
      <c r="G40" s="20" t="inlineStr">
        <is>
          <t>ej26s0024</t>
        </is>
      </c>
      <c r="H40" s="20" t="inlineStr">
        <is>
          <t>УШ19291674</t>
        </is>
      </c>
      <c r="I40" s="20" t="inlineStr">
        <is>
          <t>Тийм</t>
        </is>
      </c>
    </row>
    <row r="41">
      <c r="A41" s="19" t="inlineStr">
        <is>
          <t>БОДИТ</t>
        </is>
      </c>
      <c r="B41" s="20" t="inlineStr">
        <is>
          <t>EJ-2627-S0023</t>
        </is>
      </c>
      <c r="C41" s="20" t="inlineStr">
        <is>
          <t>Эрдэнэцогт Мөнхдөлгөөн</t>
        </is>
      </c>
      <c r="D41" s="20" t="inlineStr">
        <is>
          <t>EJ-2627-2A</t>
        </is>
      </c>
      <c r="E41" s="20" t="inlineStr">
        <is>
          <t>2а</t>
        </is>
      </c>
      <c r="F41" s="20" t="n">
        <v>2</v>
      </c>
      <c r="G41" s="20" t="inlineStr">
        <is>
          <t>ej26s0023</t>
        </is>
      </c>
      <c r="H41" s="20" t="inlineStr">
        <is>
          <t>УБ19293093</t>
        </is>
      </c>
      <c r="I41" s="20" t="inlineStr">
        <is>
          <t>Тийм</t>
        </is>
      </c>
    </row>
    <row r="42">
      <c r="A42" s="19" t="inlineStr">
        <is>
          <t>БОДИТ</t>
        </is>
      </c>
      <c r="B42" s="20" t="inlineStr">
        <is>
          <t>EJ-2627-S0044</t>
        </is>
      </c>
      <c r="C42" s="20" t="inlineStr">
        <is>
          <t>Адилсүрэн Хулан</t>
        </is>
      </c>
      <c r="D42" s="20" t="inlineStr">
        <is>
          <t>EJ-2627-3A</t>
        </is>
      </c>
      <c r="E42" s="20" t="inlineStr">
        <is>
          <t>3а</t>
        </is>
      </c>
      <c r="F42" s="20" t="n">
        <v>3</v>
      </c>
      <c r="G42" s="20" t="inlineStr">
        <is>
          <t>ej26s0044</t>
        </is>
      </c>
      <c r="H42" s="20" t="inlineStr">
        <is>
          <t>УН18233127</t>
        </is>
      </c>
      <c r="I42" s="20" t="inlineStr">
        <is>
          <t>Тийм</t>
        </is>
      </c>
    </row>
    <row r="43">
      <c r="A43" s="19" t="inlineStr">
        <is>
          <t>БОДИТ</t>
        </is>
      </c>
      <c r="B43" s="20" t="inlineStr">
        <is>
          <t>EJ-2627-S0047</t>
        </is>
      </c>
      <c r="C43" s="20" t="inlineStr">
        <is>
          <t>Батбаатар Энхлэн</t>
        </is>
      </c>
      <c r="D43" s="20" t="inlineStr">
        <is>
          <t>EJ-2627-3A</t>
        </is>
      </c>
      <c r="E43" s="20" t="inlineStr">
        <is>
          <t>3а</t>
        </is>
      </c>
      <c r="F43" s="20" t="n">
        <v>3</v>
      </c>
      <c r="G43" s="20" t="inlineStr">
        <is>
          <t>ej26s0047</t>
        </is>
      </c>
      <c r="H43" s="20" t="inlineStr">
        <is>
          <t>УЗ18231265</t>
        </is>
      </c>
      <c r="I43" s="20" t="inlineStr">
        <is>
          <t>Тийм</t>
        </is>
      </c>
    </row>
    <row r="44">
      <c r="A44" s="19" t="inlineStr">
        <is>
          <t>БОДИТ</t>
        </is>
      </c>
      <c r="B44" s="20" t="inlineStr">
        <is>
          <t>EJ-2627-S0043</t>
        </is>
      </c>
      <c r="C44" s="20" t="inlineStr">
        <is>
          <t>Батбаяр Сондор</t>
        </is>
      </c>
      <c r="D44" s="20" t="inlineStr">
        <is>
          <t>EJ-2627-3A</t>
        </is>
      </c>
      <c r="E44" s="20" t="inlineStr">
        <is>
          <t>3а</t>
        </is>
      </c>
      <c r="F44" s="20" t="n">
        <v>3</v>
      </c>
      <c r="G44" s="20" t="inlineStr">
        <is>
          <t>ej26s0043</t>
        </is>
      </c>
      <c r="H44" s="20" t="inlineStr">
        <is>
          <t>УН18270423</t>
        </is>
      </c>
      <c r="I44" s="20" t="inlineStr">
        <is>
          <t>Тийм</t>
        </is>
      </c>
    </row>
    <row r="45">
      <c r="A45" s="19" t="inlineStr">
        <is>
          <t>БОДИТ</t>
        </is>
      </c>
      <c r="B45" s="20" t="inlineStr">
        <is>
          <t>EJ-2627-S0046</t>
        </is>
      </c>
      <c r="C45" s="20" t="inlineStr">
        <is>
          <t>Баяртогтох Энхбадрах</t>
        </is>
      </c>
      <c r="D45" s="20" t="inlineStr">
        <is>
          <t>EJ-2627-3A</t>
        </is>
      </c>
      <c r="E45" s="20" t="inlineStr">
        <is>
          <t>3а</t>
        </is>
      </c>
      <c r="F45" s="20" t="n">
        <v>3</v>
      </c>
      <c r="G45" s="20" t="inlineStr">
        <is>
          <t>ej26s0046</t>
        </is>
      </c>
      <c r="H45" s="20" t="inlineStr">
        <is>
          <t>УЗ18231476</t>
        </is>
      </c>
      <c r="I45" s="20" t="inlineStr">
        <is>
          <t>Тийм</t>
        </is>
      </c>
    </row>
    <row r="46">
      <c r="A46" s="19" t="inlineStr">
        <is>
          <t>БОДИТ</t>
        </is>
      </c>
      <c r="B46" s="20" t="inlineStr">
        <is>
          <t>EJ-2627-S0041</t>
        </is>
      </c>
      <c r="C46" s="20" t="inlineStr">
        <is>
          <t>Даваасайхан Мандуул</t>
        </is>
      </c>
      <c r="D46" s="20" t="inlineStr">
        <is>
          <t>EJ-2627-3A</t>
        </is>
      </c>
      <c r="E46" s="20" t="inlineStr">
        <is>
          <t>3а</t>
        </is>
      </c>
      <c r="F46" s="20" t="n">
        <v>3</v>
      </c>
      <c r="G46" s="20" t="inlineStr">
        <is>
          <t>ej26s0041</t>
        </is>
      </c>
      <c r="H46" s="20" t="inlineStr">
        <is>
          <t>УБ18301712</t>
        </is>
      </c>
      <c r="I46" s="20" t="inlineStr">
        <is>
          <t>Тийм</t>
        </is>
      </c>
    </row>
    <row r="47">
      <c r="A47" s="19" t="inlineStr">
        <is>
          <t>БОДИТ</t>
        </is>
      </c>
      <c r="B47" s="20" t="inlineStr">
        <is>
          <t>EJ-2627-S0039</t>
        </is>
      </c>
      <c r="C47" s="20" t="inlineStr">
        <is>
          <t>Мөнх-Ерөөлт Есүй</t>
        </is>
      </c>
      <c r="D47" s="20" t="inlineStr">
        <is>
          <t>EJ-2627-3A</t>
        </is>
      </c>
      <c r="E47" s="20" t="inlineStr">
        <is>
          <t>3а</t>
        </is>
      </c>
      <c r="F47" s="20" t="n">
        <v>3</v>
      </c>
      <c r="G47" s="20" t="inlineStr">
        <is>
          <t>ej26s0039</t>
        </is>
      </c>
      <c r="H47" s="20" t="inlineStr">
        <is>
          <t>ЩР18211105</t>
        </is>
      </c>
      <c r="I47" s="20" t="inlineStr">
        <is>
          <t>Тийм</t>
        </is>
      </c>
    </row>
    <row r="48">
      <c r="A48" s="19" t="inlineStr">
        <is>
          <t>БОДИТ</t>
        </is>
      </c>
      <c r="B48" s="20" t="inlineStr">
        <is>
          <t>EJ-2627-S0048</t>
        </is>
      </c>
      <c r="C48" s="20" t="inlineStr">
        <is>
          <t>Мөнх-Эрдэнэ Тэргэлсаран</t>
        </is>
      </c>
      <c r="D48" s="20" t="inlineStr">
        <is>
          <t>EJ-2627-3A</t>
        </is>
      </c>
      <c r="E48" s="20" t="inlineStr">
        <is>
          <t>3а</t>
        </is>
      </c>
      <c r="F48" s="20" t="n">
        <v>3</v>
      </c>
      <c r="G48" s="20" t="inlineStr">
        <is>
          <t>ej26s0048</t>
        </is>
      </c>
      <c r="H48" s="20" t="inlineStr">
        <is>
          <t>УК18252749</t>
        </is>
      </c>
      <c r="I48" s="20" t="inlineStr">
        <is>
          <t>Тийм</t>
        </is>
      </c>
    </row>
    <row r="49">
      <c r="A49" s="19" t="inlineStr">
        <is>
          <t>БОДИТ</t>
        </is>
      </c>
      <c r="B49" s="20" t="inlineStr">
        <is>
          <t>EJ-2627-S0038</t>
        </is>
      </c>
      <c r="C49" s="20" t="inlineStr">
        <is>
          <t>Мөнхжаргал Аялгуу</t>
        </is>
      </c>
      <c r="D49" s="20" t="inlineStr">
        <is>
          <t>EJ-2627-3A</t>
        </is>
      </c>
      <c r="E49" s="20" t="inlineStr">
        <is>
          <t>3а</t>
        </is>
      </c>
      <c r="F49" s="20" t="n">
        <v>3</v>
      </c>
      <c r="G49" s="20" t="inlineStr">
        <is>
          <t>ej26s0038</t>
        </is>
      </c>
      <c r="H49" s="20" t="inlineStr">
        <is>
          <t>УЗ18301309</t>
        </is>
      </c>
      <c r="I49" s="20" t="inlineStr">
        <is>
          <t>Тийм</t>
        </is>
      </c>
    </row>
    <row r="50">
      <c r="A50" s="19" t="inlineStr">
        <is>
          <t>БОДИТ</t>
        </is>
      </c>
      <c r="B50" s="20" t="inlineStr">
        <is>
          <t>EJ-2627-S0040</t>
        </is>
      </c>
      <c r="C50" s="20" t="inlineStr">
        <is>
          <t>Нармандах Жаргалбаяр</t>
        </is>
      </c>
      <c r="D50" s="20" t="inlineStr">
        <is>
          <t>EJ-2627-3A</t>
        </is>
      </c>
      <c r="E50" s="20" t="inlineStr">
        <is>
          <t>3а</t>
        </is>
      </c>
      <c r="F50" s="20" t="n">
        <v>3</v>
      </c>
      <c r="G50" s="20" t="inlineStr">
        <is>
          <t>ej26s0040</t>
        </is>
      </c>
      <c r="H50" s="20" t="inlineStr">
        <is>
          <t>ДЮ18281638</t>
        </is>
      </c>
      <c r="I50" s="20" t="inlineStr">
        <is>
          <t>Тийм</t>
        </is>
      </c>
    </row>
    <row r="51">
      <c r="A51" s="19" t="inlineStr">
        <is>
          <t>БОДИТ</t>
        </is>
      </c>
      <c r="B51" s="20" t="inlineStr">
        <is>
          <t>EJ-2627-S0042</t>
        </is>
      </c>
      <c r="C51" s="20" t="inlineStr">
        <is>
          <t>Содбаяр Нэгүүн</t>
        </is>
      </c>
      <c r="D51" s="20" t="inlineStr">
        <is>
          <t>EJ-2627-3A</t>
        </is>
      </c>
      <c r="E51" s="20" t="inlineStr">
        <is>
          <t>3а</t>
        </is>
      </c>
      <c r="F51" s="20" t="n">
        <v>3</v>
      </c>
      <c r="G51" s="20" t="inlineStr">
        <is>
          <t>ej26s0042</t>
        </is>
      </c>
      <c r="H51" s="20" t="inlineStr">
        <is>
          <t>УЗ18231333</t>
        </is>
      </c>
      <c r="I51" s="20" t="inlineStr">
        <is>
          <t>Тийм</t>
        </is>
      </c>
    </row>
    <row r="52">
      <c r="A52" s="19" t="inlineStr">
        <is>
          <t>БОДИТ</t>
        </is>
      </c>
      <c r="B52" s="20" t="inlineStr">
        <is>
          <t>EJ-2627-S0050</t>
        </is>
      </c>
      <c r="C52" s="20" t="inlineStr">
        <is>
          <t>Содбилэг</t>
        </is>
      </c>
      <c r="D52" s="20" t="inlineStr">
        <is>
          <t>EJ-2627-3A</t>
        </is>
      </c>
      <c r="E52" s="20" t="inlineStr">
        <is>
          <t>3а</t>
        </is>
      </c>
      <c r="F52" s="20" t="n">
        <v>3</v>
      </c>
      <c r="G52" s="20" t="inlineStr">
        <is>
          <t>ej26s0050</t>
        </is>
      </c>
      <c r="H52" s="20" t="n"/>
      <c r="I52" s="20" t="inlineStr">
        <is>
          <t>Тийм</t>
        </is>
      </c>
    </row>
    <row r="53">
      <c r="A53" s="19" t="inlineStr">
        <is>
          <t>БОДИТ</t>
        </is>
      </c>
      <c r="B53" s="20" t="inlineStr">
        <is>
          <t>EJ-2627-S0037</t>
        </is>
      </c>
      <c r="C53" s="20" t="inlineStr">
        <is>
          <t>Уранчимэг Ананд</t>
        </is>
      </c>
      <c r="D53" s="20" t="inlineStr">
        <is>
          <t>EJ-2627-3A</t>
        </is>
      </c>
      <c r="E53" s="20" t="inlineStr">
        <is>
          <t>3а</t>
        </is>
      </c>
      <c r="F53" s="20" t="n">
        <v>3</v>
      </c>
      <c r="G53" s="20" t="inlineStr">
        <is>
          <t>ej26s0037</t>
        </is>
      </c>
      <c r="H53" s="20" t="inlineStr">
        <is>
          <t>ЩШ18210336</t>
        </is>
      </c>
      <c r="I53" s="20" t="inlineStr">
        <is>
          <t>Тийм</t>
        </is>
      </c>
    </row>
    <row r="54">
      <c r="A54" s="19" t="inlineStr">
        <is>
          <t>БОДИТ</t>
        </is>
      </c>
      <c r="B54" s="20" t="inlineStr">
        <is>
          <t>EJ-2627-S0049</t>
        </is>
      </c>
      <c r="C54" s="20" t="inlineStr">
        <is>
          <t>Энхмэнд Урам</t>
        </is>
      </c>
      <c r="D54" s="20" t="inlineStr">
        <is>
          <t>EJ-2627-3A</t>
        </is>
      </c>
      <c r="E54" s="20" t="inlineStr">
        <is>
          <t>3а</t>
        </is>
      </c>
      <c r="F54" s="20" t="n">
        <v>3</v>
      </c>
      <c r="G54" s="20" t="inlineStr">
        <is>
          <t>ej26s0049</t>
        </is>
      </c>
      <c r="H54" s="20" t="inlineStr">
        <is>
          <t>УО18221367</t>
        </is>
      </c>
      <c r="I54" s="20" t="inlineStr">
        <is>
          <t>Тийм</t>
        </is>
      </c>
    </row>
    <row r="55">
      <c r="A55" s="19" t="inlineStr">
        <is>
          <t>БОДИТ</t>
        </is>
      </c>
      <c r="B55" s="20" t="inlineStr">
        <is>
          <t>EJ-2627-S0045</t>
        </is>
      </c>
      <c r="C55" s="20" t="inlineStr">
        <is>
          <t>Эрдэнэбаяр Цэцэгхэн</t>
        </is>
      </c>
      <c r="D55" s="20" t="inlineStr">
        <is>
          <t>EJ-2627-3A</t>
        </is>
      </c>
      <c r="E55" s="20" t="inlineStr">
        <is>
          <t>3а</t>
        </is>
      </c>
      <c r="F55" s="20" t="n">
        <v>3</v>
      </c>
      <c r="G55" s="20" t="inlineStr">
        <is>
          <t>ej26s0045</t>
        </is>
      </c>
      <c r="H55" s="20" t="inlineStr">
        <is>
          <t>УЗ18302125</t>
        </is>
      </c>
      <c r="I55" s="20" t="inlineStr">
        <is>
          <t>Тийм</t>
        </is>
      </c>
    </row>
    <row r="56">
      <c r="A56" s="19" t="inlineStr">
        <is>
          <t>БОДИТ</t>
        </is>
      </c>
      <c r="B56" s="20" t="inlineStr">
        <is>
          <t>EJ-2627-S0078</t>
        </is>
      </c>
      <c r="C56" s="20" t="inlineStr">
        <is>
          <t>Анир Бодь</t>
        </is>
      </c>
      <c r="D56" s="20" t="inlineStr">
        <is>
          <t>EJ-2627-4A</t>
        </is>
      </c>
      <c r="E56" s="20" t="inlineStr">
        <is>
          <t>4а</t>
        </is>
      </c>
      <c r="F56" s="20" t="n">
        <v>4</v>
      </c>
      <c r="G56" s="20" t="inlineStr">
        <is>
          <t>ej26s0078</t>
        </is>
      </c>
      <c r="H56" s="20" t="inlineStr">
        <is>
          <t>МЗ17211919</t>
        </is>
      </c>
      <c r="I56" s="20" t="inlineStr">
        <is>
          <t>Тийм</t>
        </is>
      </c>
    </row>
    <row r="57">
      <c r="A57" s="19" t="inlineStr">
        <is>
          <t>БОДИТ</t>
        </is>
      </c>
      <c r="B57" s="20" t="inlineStr">
        <is>
          <t>EJ-2627-S0074</t>
        </is>
      </c>
      <c r="C57" s="20" t="inlineStr">
        <is>
          <t>Бат-Очир Энхрийлэн</t>
        </is>
      </c>
      <c r="D57" s="20" t="inlineStr">
        <is>
          <t>EJ-2627-4A</t>
        </is>
      </c>
      <c r="E57" s="20" t="inlineStr">
        <is>
          <t>4а</t>
        </is>
      </c>
      <c r="F57" s="20" t="n">
        <v>4</v>
      </c>
      <c r="G57" s="20" t="inlineStr">
        <is>
          <t>ej26s0074</t>
        </is>
      </c>
      <c r="H57" s="20" t="inlineStr">
        <is>
          <t>уб17322180</t>
        </is>
      </c>
      <c r="I57" s="20" t="inlineStr">
        <is>
          <t>Тийм</t>
        </is>
      </c>
    </row>
    <row r="58">
      <c r="A58" s="19" t="inlineStr">
        <is>
          <t>БОДИТ</t>
        </is>
      </c>
      <c r="B58" s="20" t="inlineStr">
        <is>
          <t>EJ-2627-S0052</t>
        </is>
      </c>
      <c r="C58" s="20" t="inlineStr">
        <is>
          <t>Батбаатар Баттүшиг</t>
        </is>
      </c>
      <c r="D58" s="20" t="inlineStr">
        <is>
          <t>EJ-2627-4A</t>
        </is>
      </c>
      <c r="E58" s="20" t="inlineStr">
        <is>
          <t>4а</t>
        </is>
      </c>
      <c r="F58" s="20" t="n">
        <v>4</v>
      </c>
      <c r="G58" s="20" t="inlineStr">
        <is>
          <t>ej26s0052</t>
        </is>
      </c>
      <c r="H58" s="20" t="inlineStr">
        <is>
          <t>УЖ17282955</t>
        </is>
      </c>
      <c r="I58" s="20" t="inlineStr">
        <is>
          <t>Тийм</t>
        </is>
      </c>
    </row>
    <row r="59">
      <c r="A59" s="19" t="inlineStr">
        <is>
          <t>БОДИТ</t>
        </is>
      </c>
      <c r="B59" s="20" t="inlineStr">
        <is>
          <t>EJ-2627-S0070</t>
        </is>
      </c>
      <c r="C59" s="20" t="inlineStr">
        <is>
          <t>Батгэрэл Эрдэмтүшиг</t>
        </is>
      </c>
      <c r="D59" s="20" t="inlineStr">
        <is>
          <t>EJ-2627-4A</t>
        </is>
      </c>
      <c r="E59" s="20" t="inlineStr">
        <is>
          <t>4а</t>
        </is>
      </c>
      <c r="F59" s="20" t="n">
        <v>4</v>
      </c>
      <c r="G59" s="20" t="inlineStr">
        <is>
          <t>ej26s0070</t>
        </is>
      </c>
      <c r="H59" s="20" t="inlineStr">
        <is>
          <t>УЗ17291331</t>
        </is>
      </c>
      <c r="I59" s="20" t="inlineStr">
        <is>
          <t>Тийм</t>
        </is>
      </c>
    </row>
    <row r="60">
      <c r="A60" s="19" t="inlineStr">
        <is>
          <t>БОДИТ</t>
        </is>
      </c>
      <c r="B60" s="20" t="inlineStr">
        <is>
          <t>EJ-2627-S0073</t>
        </is>
      </c>
      <c r="C60" s="20" t="inlineStr">
        <is>
          <t>Батнасан Хосбаяр</t>
        </is>
      </c>
      <c r="D60" s="20" t="inlineStr">
        <is>
          <t>EJ-2627-4A</t>
        </is>
      </c>
      <c r="E60" s="20" t="inlineStr">
        <is>
          <t>4а</t>
        </is>
      </c>
      <c r="F60" s="20" t="n">
        <v>4</v>
      </c>
      <c r="G60" s="20" t="inlineStr">
        <is>
          <t>ej26s0073</t>
        </is>
      </c>
      <c r="H60" s="20" t="inlineStr">
        <is>
          <t>ГЮ17280415</t>
        </is>
      </c>
      <c r="I60" s="20" t="inlineStr">
        <is>
          <t>Тийм</t>
        </is>
      </c>
    </row>
    <row r="61">
      <c r="A61" s="19" t="inlineStr">
        <is>
          <t>БОДИТ</t>
        </is>
      </c>
      <c r="B61" s="20" t="inlineStr">
        <is>
          <t>EJ-2627-S0065</t>
        </is>
      </c>
      <c r="C61" s="20" t="inlineStr">
        <is>
          <t>Булгантамир Сэцэнгоо</t>
        </is>
      </c>
      <c r="D61" s="20" t="inlineStr">
        <is>
          <t>EJ-2627-4A</t>
        </is>
      </c>
      <c r="E61" s="20" t="inlineStr">
        <is>
          <t>4а</t>
        </is>
      </c>
      <c r="F61" s="20" t="n">
        <v>4</v>
      </c>
      <c r="G61" s="20" t="inlineStr">
        <is>
          <t>ej26s0065</t>
        </is>
      </c>
      <c r="H61" s="20" t="inlineStr">
        <is>
          <t>УВ17232088</t>
        </is>
      </c>
      <c r="I61" s="20" t="inlineStr">
        <is>
          <t>Тийм</t>
        </is>
      </c>
    </row>
    <row r="62">
      <c r="A62" s="19" t="inlineStr">
        <is>
          <t>БОДИТ</t>
        </is>
      </c>
      <c r="B62" s="20" t="inlineStr">
        <is>
          <t>EJ-2627-S0062</t>
        </is>
      </c>
      <c r="C62" s="20" t="inlineStr">
        <is>
          <t>Ганбаяр Мэнд-Амар</t>
        </is>
      </c>
      <c r="D62" s="20" t="inlineStr">
        <is>
          <t>EJ-2627-4A</t>
        </is>
      </c>
      <c r="E62" s="20" t="inlineStr">
        <is>
          <t>4а</t>
        </is>
      </c>
      <c r="F62" s="20" t="n">
        <v>4</v>
      </c>
      <c r="G62" s="20" t="inlineStr">
        <is>
          <t>ej26s0062</t>
        </is>
      </c>
      <c r="H62" s="20" t="inlineStr">
        <is>
          <t>УЗ17250251</t>
        </is>
      </c>
      <c r="I62" s="20" t="inlineStr">
        <is>
          <t>Тийм</t>
        </is>
      </c>
    </row>
    <row r="63">
      <c r="A63" s="19" t="inlineStr">
        <is>
          <t>БОДИТ</t>
        </is>
      </c>
      <c r="B63" s="20" t="inlineStr">
        <is>
          <t>EJ-2627-S0072</t>
        </is>
      </c>
      <c r="C63" s="20" t="inlineStr">
        <is>
          <t>Гантулга Цэцбилэг</t>
        </is>
      </c>
      <c r="D63" s="20" t="inlineStr">
        <is>
          <t>EJ-2627-4A</t>
        </is>
      </c>
      <c r="E63" s="20" t="inlineStr">
        <is>
          <t>4а</t>
        </is>
      </c>
      <c r="F63" s="20" t="n">
        <v>4</v>
      </c>
      <c r="G63" s="20" t="inlineStr">
        <is>
          <t>ej26s0072</t>
        </is>
      </c>
      <c r="H63" s="20" t="inlineStr">
        <is>
          <t>УЖ17231237</t>
        </is>
      </c>
      <c r="I63" s="20" t="inlineStr">
        <is>
          <t>Тийм</t>
        </is>
      </c>
    </row>
    <row r="64">
      <c r="A64" s="19" t="inlineStr">
        <is>
          <t>БОДИТ</t>
        </is>
      </c>
      <c r="B64" s="20" t="inlineStr">
        <is>
          <t>EJ-2627-S0067</t>
        </is>
      </c>
      <c r="C64" s="20" t="inlineStr">
        <is>
          <t>Ганцог Тэмүүлэн</t>
        </is>
      </c>
      <c r="D64" s="20" t="inlineStr">
        <is>
          <t>EJ-2627-4A</t>
        </is>
      </c>
      <c r="E64" s="20" t="inlineStr">
        <is>
          <t>4а</t>
        </is>
      </c>
      <c r="F64" s="20" t="n">
        <v>4</v>
      </c>
      <c r="G64" s="20" t="inlineStr">
        <is>
          <t>ej26s0067</t>
        </is>
      </c>
      <c r="H64" s="20" t="inlineStr">
        <is>
          <t>УБ17282074</t>
        </is>
      </c>
      <c r="I64" s="20" t="inlineStr">
        <is>
          <t>Тийм</t>
        </is>
      </c>
    </row>
    <row r="65">
      <c r="A65" s="19" t="inlineStr">
        <is>
          <t>БОДИТ</t>
        </is>
      </c>
      <c r="B65" s="20" t="inlineStr">
        <is>
          <t>EJ-2627-S0054</t>
        </is>
      </c>
      <c r="C65" s="20" t="inlineStr">
        <is>
          <t>Гүррагчаа Гэгээлэн</t>
        </is>
      </c>
      <c r="D65" s="20" t="inlineStr">
        <is>
          <t>EJ-2627-4A</t>
        </is>
      </c>
      <c r="E65" s="20" t="inlineStr">
        <is>
          <t>4а</t>
        </is>
      </c>
      <c r="F65" s="20" t="n">
        <v>4</v>
      </c>
      <c r="G65" s="20" t="inlineStr">
        <is>
          <t>ej26s0054</t>
        </is>
      </c>
      <c r="H65" s="20" t="inlineStr">
        <is>
          <t>НЮ17242527</t>
        </is>
      </c>
      <c r="I65" s="20" t="inlineStr">
        <is>
          <t>Тийм</t>
        </is>
      </c>
    </row>
    <row r="66">
      <c r="A66" s="19" t="inlineStr">
        <is>
          <t>БОДИТ</t>
        </is>
      </c>
      <c r="B66" s="20" t="inlineStr">
        <is>
          <t>EJ-2627-S0060</t>
        </is>
      </c>
      <c r="C66" s="20" t="inlineStr">
        <is>
          <t>Ихбаяр Мөнх-Оргил</t>
        </is>
      </c>
      <c r="D66" s="20" t="inlineStr">
        <is>
          <t>EJ-2627-4A</t>
        </is>
      </c>
      <c r="E66" s="20" t="inlineStr">
        <is>
          <t>4а</t>
        </is>
      </c>
      <c r="F66" s="20" t="n">
        <v>4</v>
      </c>
      <c r="G66" s="20" t="inlineStr">
        <is>
          <t>ej26s0060</t>
        </is>
      </c>
      <c r="H66" s="20" t="inlineStr">
        <is>
          <t>УВ17230730</t>
        </is>
      </c>
      <c r="I66" s="20" t="inlineStr">
        <is>
          <t>Тийм</t>
        </is>
      </c>
    </row>
    <row r="67">
      <c r="A67" s="19" t="inlineStr">
        <is>
          <t>БОДИТ</t>
        </is>
      </c>
      <c r="B67" s="20" t="inlineStr">
        <is>
          <t>EJ-2627-S0077</t>
        </is>
      </c>
      <c r="C67" s="20" t="inlineStr">
        <is>
          <t>Мөнх-Эрдэнэ Амин-Эрдэнэ</t>
        </is>
      </c>
      <c r="D67" s="20" t="inlineStr">
        <is>
          <t>EJ-2627-4A</t>
        </is>
      </c>
      <c r="E67" s="20" t="inlineStr">
        <is>
          <t>4а</t>
        </is>
      </c>
      <c r="F67" s="20" t="n">
        <v>4</v>
      </c>
      <c r="G67" s="20" t="inlineStr">
        <is>
          <t>ej26s0077</t>
        </is>
      </c>
      <c r="H67" s="20" t="inlineStr">
        <is>
          <t>ЕЮ17280181</t>
        </is>
      </c>
      <c r="I67" s="20" t="inlineStr">
        <is>
          <t>Тийм</t>
        </is>
      </c>
    </row>
    <row r="68">
      <c r="A68" s="19" t="inlineStr">
        <is>
          <t>БОДИТ</t>
        </is>
      </c>
      <c r="B68" s="20" t="inlineStr">
        <is>
          <t>EJ-2627-S0063</t>
        </is>
      </c>
      <c r="C68" s="20" t="inlineStr">
        <is>
          <t>Мягмарсүрэн Нандин-Эрдэнэ</t>
        </is>
      </c>
      <c r="D68" s="20" t="inlineStr">
        <is>
          <t>EJ-2627-4A</t>
        </is>
      </c>
      <c r="E68" s="20" t="inlineStr">
        <is>
          <t>4а</t>
        </is>
      </c>
      <c r="F68" s="20" t="n">
        <v>4</v>
      </c>
      <c r="G68" s="20" t="inlineStr">
        <is>
          <t>ej26s0063</t>
        </is>
      </c>
      <c r="H68" s="20" t="inlineStr">
        <is>
          <t>УЖ17320883</t>
        </is>
      </c>
      <c r="I68" s="20" t="inlineStr">
        <is>
          <t>Тийм</t>
        </is>
      </c>
    </row>
    <row r="69">
      <c r="A69" s="19" t="inlineStr">
        <is>
          <t>БОДИТ</t>
        </is>
      </c>
      <c r="B69" s="20" t="inlineStr">
        <is>
          <t>EJ-2627-S0055</t>
        </is>
      </c>
      <c r="C69" s="20" t="inlineStr">
        <is>
          <t>Нямтамжид Есүй-Үжин</t>
        </is>
      </c>
      <c r="D69" s="20" t="inlineStr">
        <is>
          <t>EJ-2627-4A</t>
        </is>
      </c>
      <c r="E69" s="20" t="inlineStr">
        <is>
          <t>4а</t>
        </is>
      </c>
      <c r="F69" s="20" t="n">
        <v>4</v>
      </c>
      <c r="G69" s="20" t="inlineStr">
        <is>
          <t>ej26s0055</t>
        </is>
      </c>
      <c r="H69" s="20" t="inlineStr">
        <is>
          <t>ЙН17251300</t>
        </is>
      </c>
      <c r="I69" s="20" t="inlineStr">
        <is>
          <t>Тийм</t>
        </is>
      </c>
    </row>
    <row r="70">
      <c r="A70" s="19" t="inlineStr">
        <is>
          <t>БОДИТ</t>
        </is>
      </c>
      <c r="B70" s="20" t="inlineStr">
        <is>
          <t>EJ-2627-S0075</t>
        </is>
      </c>
      <c r="C70" s="20" t="inlineStr">
        <is>
          <t>Оргилбаяр Энхчимэг</t>
        </is>
      </c>
      <c r="D70" s="20" t="inlineStr">
        <is>
          <t>EJ-2627-4A</t>
        </is>
      </c>
      <c r="E70" s="20" t="inlineStr">
        <is>
          <t>4а</t>
        </is>
      </c>
      <c r="F70" s="20" t="n">
        <v>4</v>
      </c>
      <c r="G70" s="20" t="inlineStr">
        <is>
          <t>ej26s0075</t>
        </is>
      </c>
      <c r="H70" s="20" t="inlineStr">
        <is>
          <t>ЩЙ16251302</t>
        </is>
      </c>
      <c r="I70" s="20" t="inlineStr">
        <is>
          <t>Тийм</t>
        </is>
      </c>
    </row>
    <row r="71">
      <c r="A71" s="19" t="inlineStr">
        <is>
          <t>БОДИТ</t>
        </is>
      </c>
      <c r="B71" s="20" t="inlineStr">
        <is>
          <t>EJ-2627-S0051</t>
        </is>
      </c>
      <c r="C71" s="20" t="inlineStr">
        <is>
          <t>Оюунболд Авидмаа</t>
        </is>
      </c>
      <c r="D71" s="20" t="inlineStr">
        <is>
          <t>EJ-2627-4A</t>
        </is>
      </c>
      <c r="E71" s="20" t="inlineStr">
        <is>
          <t>4а</t>
        </is>
      </c>
      <c r="F71" s="20" t="n">
        <v>4</v>
      </c>
      <c r="G71" s="20" t="inlineStr">
        <is>
          <t>ej26s0051</t>
        </is>
      </c>
      <c r="H71" s="20" t="inlineStr">
        <is>
          <t>УШ17283182</t>
        </is>
      </c>
      <c r="I71" s="20" t="inlineStr">
        <is>
          <t>Тийм</t>
        </is>
      </c>
    </row>
    <row r="72">
      <c r="A72" s="19" t="inlineStr">
        <is>
          <t>БОДИТ</t>
        </is>
      </c>
      <c r="B72" s="20" t="inlineStr">
        <is>
          <t>EJ-2627-S0064</t>
        </is>
      </c>
      <c r="C72" s="20" t="inlineStr">
        <is>
          <t>Пүрэвдорж Оюу</t>
        </is>
      </c>
      <c r="D72" s="20" t="inlineStr">
        <is>
          <t>EJ-2627-4A</t>
        </is>
      </c>
      <c r="E72" s="20" t="inlineStr">
        <is>
          <t>4а</t>
        </is>
      </c>
      <c r="F72" s="20" t="n">
        <v>4</v>
      </c>
      <c r="G72" s="20" t="inlineStr">
        <is>
          <t>ej26s0064</t>
        </is>
      </c>
      <c r="H72" s="20" t="inlineStr">
        <is>
          <t>УЖ17282841</t>
        </is>
      </c>
      <c r="I72" s="20" t="inlineStr">
        <is>
          <t>Тийм</t>
        </is>
      </c>
    </row>
    <row r="73">
      <c r="A73" s="19" t="inlineStr">
        <is>
          <t>БОДИТ</t>
        </is>
      </c>
      <c r="B73" s="20" t="inlineStr">
        <is>
          <t>EJ-2627-S0053</t>
        </is>
      </c>
      <c r="C73" s="20" t="inlineStr">
        <is>
          <t>Төрмөнх Буянтбилэг</t>
        </is>
      </c>
      <c r="D73" s="20" t="inlineStr">
        <is>
          <t>EJ-2627-4A</t>
        </is>
      </c>
      <c r="E73" s="20" t="inlineStr">
        <is>
          <t>4а</t>
        </is>
      </c>
      <c r="F73" s="20" t="n">
        <v>4</v>
      </c>
      <c r="G73" s="20" t="inlineStr">
        <is>
          <t>ej26s0053</t>
        </is>
      </c>
      <c r="H73" s="20" t="inlineStr">
        <is>
          <t>УА17250911</t>
        </is>
      </c>
      <c r="I73" s="20" t="inlineStr">
        <is>
          <t>Тийм</t>
        </is>
      </c>
    </row>
    <row r="74">
      <c r="A74" s="19" t="inlineStr">
        <is>
          <t>БОДИТ</t>
        </is>
      </c>
      <c r="B74" s="20" t="inlineStr">
        <is>
          <t>EJ-2627-S0068</t>
        </is>
      </c>
      <c r="C74" s="20" t="inlineStr">
        <is>
          <t>Түвшинбаатар Уранзаяа</t>
        </is>
      </c>
      <c r="D74" s="20" t="inlineStr">
        <is>
          <t>EJ-2627-4A</t>
        </is>
      </c>
      <c r="E74" s="20" t="inlineStr">
        <is>
          <t>4а</t>
        </is>
      </c>
      <c r="F74" s="20" t="n">
        <v>4</v>
      </c>
      <c r="G74" s="20" t="inlineStr">
        <is>
          <t>ej26s0068</t>
        </is>
      </c>
      <c r="H74" s="20" t="inlineStr">
        <is>
          <t>УП17233106</t>
        </is>
      </c>
      <c r="I74" s="20" t="inlineStr">
        <is>
          <t>Тийм</t>
        </is>
      </c>
    </row>
    <row r="75">
      <c r="A75" s="19" t="inlineStr">
        <is>
          <t>БОДИТ</t>
        </is>
      </c>
      <c r="B75" s="20" t="inlineStr">
        <is>
          <t>EJ-2627-S0059</t>
        </is>
      </c>
      <c r="C75" s="20" t="inlineStr">
        <is>
          <t>Түвшинжаргал Мичид</t>
        </is>
      </c>
      <c r="D75" s="20" t="inlineStr">
        <is>
          <t>EJ-2627-4A</t>
        </is>
      </c>
      <c r="E75" s="20" t="inlineStr">
        <is>
          <t>4а</t>
        </is>
      </c>
      <c r="F75" s="20" t="n">
        <v>4</v>
      </c>
      <c r="G75" s="20" t="inlineStr">
        <is>
          <t>ej26s0059</t>
        </is>
      </c>
      <c r="H75" s="20" t="inlineStr">
        <is>
          <t>УЗ17292187</t>
        </is>
      </c>
      <c r="I75" s="20" t="inlineStr">
        <is>
          <t>Тийм</t>
        </is>
      </c>
    </row>
    <row r="76">
      <c r="A76" s="19" t="inlineStr">
        <is>
          <t>БОДИТ</t>
        </is>
      </c>
      <c r="B76" s="20" t="inlineStr">
        <is>
          <t>EJ-2627-S0069</t>
        </is>
      </c>
      <c r="C76" s="20" t="inlineStr">
        <is>
          <t>Тэрбиш Хантайшир</t>
        </is>
      </c>
      <c r="D76" s="20" t="inlineStr">
        <is>
          <t>EJ-2627-4A</t>
        </is>
      </c>
      <c r="E76" s="20" t="inlineStr">
        <is>
          <t>4а</t>
        </is>
      </c>
      <c r="F76" s="20" t="n">
        <v>4</v>
      </c>
      <c r="G76" s="20" t="inlineStr">
        <is>
          <t>ej26s0069</t>
        </is>
      </c>
      <c r="H76" s="20" t="inlineStr">
        <is>
          <t>УЖ17302651</t>
        </is>
      </c>
      <c r="I76" s="20" t="inlineStr">
        <is>
          <t>Тийм</t>
        </is>
      </c>
    </row>
    <row r="77">
      <c r="A77" s="19" t="inlineStr">
        <is>
          <t>БОДИТ</t>
        </is>
      </c>
      <c r="B77" s="20" t="inlineStr">
        <is>
          <t>EJ-2627-S0076</t>
        </is>
      </c>
      <c r="C77" s="20" t="inlineStr">
        <is>
          <t>Ууганбаяр Ананд</t>
        </is>
      </c>
      <c r="D77" s="20" t="inlineStr">
        <is>
          <t>EJ-2627-4A</t>
        </is>
      </c>
      <c r="E77" s="20" t="inlineStr">
        <is>
          <t>4а</t>
        </is>
      </c>
      <c r="F77" s="20" t="n">
        <v>4</v>
      </c>
      <c r="G77" s="20" t="inlineStr">
        <is>
          <t>ej26s0076</t>
        </is>
      </c>
      <c r="H77" s="20" t="inlineStr">
        <is>
          <t>УА17251918</t>
        </is>
      </c>
      <c r="I77" s="20" t="inlineStr">
        <is>
          <t>Тийм</t>
        </is>
      </c>
    </row>
    <row r="78">
      <c r="A78" s="19" t="inlineStr">
        <is>
          <t>БОДИТ</t>
        </is>
      </c>
      <c r="B78" s="20" t="inlineStr">
        <is>
          <t>EJ-2627-S0066</t>
        </is>
      </c>
      <c r="C78" s="20" t="inlineStr">
        <is>
          <t>Ууганбаяр Тэмүүлэн</t>
        </is>
      </c>
      <c r="D78" s="20" t="inlineStr">
        <is>
          <t>EJ-2627-4A</t>
        </is>
      </c>
      <c r="E78" s="20" t="inlineStr">
        <is>
          <t>4а</t>
        </is>
      </c>
      <c r="F78" s="20" t="n">
        <v>4</v>
      </c>
      <c r="G78" s="20" t="inlineStr">
        <is>
          <t>ej26s0066</t>
        </is>
      </c>
      <c r="H78" s="20" t="inlineStr">
        <is>
          <t>ТА17210877</t>
        </is>
      </c>
      <c r="I78" s="20" t="inlineStr">
        <is>
          <t>Тийм</t>
        </is>
      </c>
    </row>
    <row r="79">
      <c r="A79" s="19" t="inlineStr">
        <is>
          <t>БОДИТ</t>
        </is>
      </c>
      <c r="B79" s="20" t="inlineStr">
        <is>
          <t>EJ-2627-S0056</t>
        </is>
      </c>
      <c r="C79" s="20" t="inlineStr">
        <is>
          <t>Цэдэнсодном Жаргал</t>
        </is>
      </c>
      <c r="D79" s="20" t="inlineStr">
        <is>
          <t>EJ-2627-4A</t>
        </is>
      </c>
      <c r="E79" s="20" t="inlineStr">
        <is>
          <t>4а</t>
        </is>
      </c>
      <c r="F79" s="20" t="n">
        <v>4</v>
      </c>
      <c r="G79" s="20" t="inlineStr">
        <is>
          <t>ej26s0056</t>
        </is>
      </c>
      <c r="H79" s="20" t="inlineStr">
        <is>
          <t>УА17312640</t>
        </is>
      </c>
      <c r="I79" s="20" t="inlineStr">
        <is>
          <t>Тийм</t>
        </is>
      </c>
    </row>
    <row r="80">
      <c r="A80" s="19" t="inlineStr">
        <is>
          <t>БОДИТ</t>
        </is>
      </c>
      <c r="B80" s="20" t="inlineStr">
        <is>
          <t>EJ-2627-S0057</t>
        </is>
      </c>
      <c r="C80" s="20" t="inlineStr">
        <is>
          <t>Шинэбаяр Инжир</t>
        </is>
      </c>
      <c r="D80" s="20" t="inlineStr">
        <is>
          <t>EJ-2627-4A</t>
        </is>
      </c>
      <c r="E80" s="20" t="inlineStr">
        <is>
          <t>4а</t>
        </is>
      </c>
      <c r="F80" s="20" t="n">
        <v>4</v>
      </c>
      <c r="G80" s="20" t="inlineStr">
        <is>
          <t>ej26s0057</t>
        </is>
      </c>
      <c r="H80" s="20" t="inlineStr">
        <is>
          <t>УБ17290360</t>
        </is>
      </c>
      <c r="I80" s="20" t="inlineStr">
        <is>
          <t>Тийм</t>
        </is>
      </c>
    </row>
    <row r="81">
      <c r="A81" s="19" t="inlineStr">
        <is>
          <t>БОДИТ</t>
        </is>
      </c>
      <c r="B81" s="20" t="inlineStr">
        <is>
          <t>EJ-2627-S0058</t>
        </is>
      </c>
      <c r="C81" s="20" t="inlineStr">
        <is>
          <t>Шуухааз Итгэлт</t>
        </is>
      </c>
      <c r="D81" s="20" t="inlineStr">
        <is>
          <t>EJ-2627-4A</t>
        </is>
      </c>
      <c r="E81" s="20" t="inlineStr">
        <is>
          <t>4а</t>
        </is>
      </c>
      <c r="F81" s="20" t="n">
        <v>4</v>
      </c>
      <c r="G81" s="20" t="inlineStr">
        <is>
          <t>ej26s0058</t>
        </is>
      </c>
      <c r="H81" s="20" t="inlineStr">
        <is>
          <t>УЖ17261456</t>
        </is>
      </c>
      <c r="I81" s="20" t="inlineStr">
        <is>
          <t>Тийм</t>
        </is>
      </c>
    </row>
    <row r="82">
      <c r="A82" s="19" t="inlineStr">
        <is>
          <t>БОДИТ</t>
        </is>
      </c>
      <c r="B82" s="20" t="inlineStr">
        <is>
          <t>EJ-2627-S0071</t>
        </is>
      </c>
      <c r="C82" s="20" t="inlineStr">
        <is>
          <t>Эрболд Эрхэс</t>
        </is>
      </c>
      <c r="D82" s="20" t="inlineStr">
        <is>
          <t>EJ-2627-4A</t>
        </is>
      </c>
      <c r="E82" s="20" t="inlineStr">
        <is>
          <t>4а</t>
        </is>
      </c>
      <c r="F82" s="20" t="n">
        <v>4</v>
      </c>
      <c r="G82" s="20" t="inlineStr">
        <is>
          <t>ej26s0071</t>
        </is>
      </c>
      <c r="H82" s="20" t="inlineStr">
        <is>
          <t>ФА17232551</t>
        </is>
      </c>
      <c r="I82" s="20" t="inlineStr">
        <is>
          <t>Тийм</t>
        </is>
      </c>
    </row>
    <row r="83">
      <c r="A83" s="19" t="inlineStr">
        <is>
          <t>БОДИТ</t>
        </is>
      </c>
      <c r="B83" s="20" t="inlineStr">
        <is>
          <t>EJ-2627-S0061</t>
        </is>
      </c>
      <c r="C83" s="20" t="inlineStr">
        <is>
          <t>Эрдэнэцогт Мөнх-Эрдэнэ</t>
        </is>
      </c>
      <c r="D83" s="20" t="inlineStr">
        <is>
          <t>EJ-2627-4A</t>
        </is>
      </c>
      <c r="E83" s="20" t="inlineStr">
        <is>
          <t>4а</t>
        </is>
      </c>
      <c r="F83" s="20" t="n">
        <v>4</v>
      </c>
      <c r="G83" s="20" t="inlineStr">
        <is>
          <t>ej26s0061</t>
        </is>
      </c>
      <c r="H83" s="20" t="inlineStr">
        <is>
          <t>ФА17220715</t>
        </is>
      </c>
      <c r="I83" s="20" t="inlineStr">
        <is>
          <t>Тийм</t>
        </is>
      </c>
    </row>
    <row r="84">
      <c r="A84" s="19" t="inlineStr">
        <is>
          <t>БОДИТ</t>
        </is>
      </c>
      <c r="B84" s="20" t="inlineStr">
        <is>
          <t>EJ-2627-S0092</t>
        </is>
      </c>
      <c r="C84" s="20" t="inlineStr">
        <is>
          <t>Амарзаяа Сүлд</t>
        </is>
      </c>
      <c r="D84" s="20" t="inlineStr">
        <is>
          <t>EJ-2627-5A</t>
        </is>
      </c>
      <c r="E84" s="20" t="inlineStr">
        <is>
          <t>5а</t>
        </is>
      </c>
      <c r="F84" s="20" t="n">
        <v>5</v>
      </c>
      <c r="G84" s="20" t="inlineStr">
        <is>
          <t>ej26s0092</t>
        </is>
      </c>
      <c r="H84" s="20" t="inlineStr">
        <is>
          <t>АЮ15321432</t>
        </is>
      </c>
      <c r="I84" s="20" t="inlineStr">
        <is>
          <t>Тийм</t>
        </is>
      </c>
    </row>
    <row r="85">
      <c r="A85" s="19" t="inlineStr">
        <is>
          <t>БОДИТ</t>
        </is>
      </c>
      <c r="B85" s="20" t="inlineStr">
        <is>
          <t>EJ-2627-S0093</t>
        </is>
      </c>
      <c r="C85" s="20" t="inlineStr">
        <is>
          <t>Анар Танхилуун</t>
        </is>
      </c>
      <c r="D85" s="20" t="inlineStr">
        <is>
          <t>EJ-2627-5A</t>
        </is>
      </c>
      <c r="E85" s="20" t="inlineStr">
        <is>
          <t>5а</t>
        </is>
      </c>
      <c r="F85" s="20" t="n">
        <v>5</v>
      </c>
      <c r="G85" s="20" t="inlineStr">
        <is>
          <t>ej26s0093</t>
        </is>
      </c>
      <c r="H85" s="20" t="inlineStr">
        <is>
          <t>ЕЭ16221304</t>
        </is>
      </c>
      <c r="I85" s="20" t="inlineStr">
        <is>
          <t>Тийм</t>
        </is>
      </c>
    </row>
    <row r="86">
      <c r="A86" s="19" t="inlineStr">
        <is>
          <t>БОДИТ</t>
        </is>
      </c>
      <c r="B86" s="20" t="inlineStr">
        <is>
          <t>EJ-2627-S0103</t>
        </is>
      </c>
      <c r="C86" s="20" t="inlineStr">
        <is>
          <t>Банзрагч Амарсанаа</t>
        </is>
      </c>
      <c r="D86" s="20" t="inlineStr">
        <is>
          <t>EJ-2627-5A</t>
        </is>
      </c>
      <c r="E86" s="20" t="inlineStr">
        <is>
          <t>5а</t>
        </is>
      </c>
      <c r="F86" s="20" t="n">
        <v>5</v>
      </c>
      <c r="G86" s="20" t="inlineStr">
        <is>
          <t>ej26s0103</t>
        </is>
      </c>
      <c r="H86" s="20" t="inlineStr">
        <is>
          <t>УК16290250</t>
        </is>
      </c>
      <c r="I86" s="20" t="inlineStr">
        <is>
          <t>Тийм</t>
        </is>
      </c>
    </row>
    <row r="87">
      <c r="A87" s="19" t="inlineStr">
        <is>
          <t>БОДИТ</t>
        </is>
      </c>
      <c r="B87" s="20" t="inlineStr">
        <is>
          <t>EJ-2627-S0091</t>
        </is>
      </c>
      <c r="C87" s="20" t="inlineStr">
        <is>
          <t>Баттулга Содоншагай</t>
        </is>
      </c>
      <c r="D87" s="20" t="inlineStr">
        <is>
          <t>EJ-2627-5A</t>
        </is>
      </c>
      <c r="E87" s="20" t="inlineStr">
        <is>
          <t>5а</t>
        </is>
      </c>
      <c r="F87" s="20" t="n">
        <v>5</v>
      </c>
      <c r="G87" s="20" t="inlineStr">
        <is>
          <t>ej26s0091</t>
        </is>
      </c>
      <c r="H87" s="20" t="inlineStr">
        <is>
          <t>УА16323121</t>
        </is>
      </c>
      <c r="I87" s="20" t="inlineStr">
        <is>
          <t>Тийм</t>
        </is>
      </c>
    </row>
    <row r="88">
      <c r="A88" s="19" t="inlineStr">
        <is>
          <t>БОДИТ</t>
        </is>
      </c>
      <c r="B88" s="20" t="inlineStr">
        <is>
          <t>EJ-2627-S0094</t>
        </is>
      </c>
      <c r="C88" s="20" t="inlineStr">
        <is>
          <t>Баярзаяа Тэнгис</t>
        </is>
      </c>
      <c r="D88" s="20" t="inlineStr">
        <is>
          <t>EJ-2627-5A</t>
        </is>
      </c>
      <c r="E88" s="20" t="inlineStr">
        <is>
          <t>5а</t>
        </is>
      </c>
      <c r="F88" s="20" t="n">
        <v>5</v>
      </c>
      <c r="G88" s="20" t="inlineStr">
        <is>
          <t>ej26s0094</t>
        </is>
      </c>
      <c r="H88" s="20" t="inlineStr">
        <is>
          <t>ЩШ16211612</t>
        </is>
      </c>
      <c r="I88" s="20" t="inlineStr">
        <is>
          <t>Тийм</t>
        </is>
      </c>
    </row>
    <row r="89">
      <c r="A89" s="19" t="inlineStr">
        <is>
          <t>БОДИТ</t>
        </is>
      </c>
      <c r="B89" s="20" t="inlineStr">
        <is>
          <t>EJ-2627-S0079</t>
        </is>
      </c>
      <c r="C89" s="20" t="inlineStr">
        <is>
          <t>Баяртогтох Ану-Үжин</t>
        </is>
      </c>
      <c r="D89" s="20" t="inlineStr">
        <is>
          <t>EJ-2627-5A</t>
        </is>
      </c>
      <c r="E89" s="20" t="inlineStr">
        <is>
          <t>5а</t>
        </is>
      </c>
      <c r="F89" s="20" t="n">
        <v>5</v>
      </c>
      <c r="G89" s="20" t="inlineStr">
        <is>
          <t>ej26s0079</t>
        </is>
      </c>
      <c r="H89" s="20" t="inlineStr">
        <is>
          <t>УЖ16300461</t>
        </is>
      </c>
      <c r="I89" s="20" t="inlineStr">
        <is>
          <t>Тийм</t>
        </is>
      </c>
    </row>
    <row r="90">
      <c r="A90" s="19" t="inlineStr">
        <is>
          <t>БОДИТ</t>
        </is>
      </c>
      <c r="B90" s="20" t="inlineStr">
        <is>
          <t>EJ-2627-S0090</t>
        </is>
      </c>
      <c r="C90" s="20" t="inlineStr">
        <is>
          <t>Галбадрах Очирнаран</t>
        </is>
      </c>
      <c r="D90" s="20" t="inlineStr">
        <is>
          <t>EJ-2627-5A</t>
        </is>
      </c>
      <c r="E90" s="20" t="inlineStr">
        <is>
          <t>5а</t>
        </is>
      </c>
      <c r="F90" s="20" t="n">
        <v>5</v>
      </c>
      <c r="G90" s="20" t="inlineStr">
        <is>
          <t>ej26s0090</t>
        </is>
      </c>
      <c r="H90" s="20" t="inlineStr">
        <is>
          <t>УВ16270296</t>
        </is>
      </c>
      <c r="I90" s="20" t="inlineStr">
        <is>
          <t>Тийм</t>
        </is>
      </c>
    </row>
    <row r="91">
      <c r="A91" s="19" t="inlineStr">
        <is>
          <t>БОДИТ</t>
        </is>
      </c>
      <c r="B91" s="20" t="inlineStr">
        <is>
          <t>EJ-2627-S0084</t>
        </is>
      </c>
      <c r="C91" s="20" t="inlineStr">
        <is>
          <t>Гантогтох Ирмүүн</t>
        </is>
      </c>
      <c r="D91" s="20" t="inlineStr">
        <is>
          <t>EJ-2627-5A</t>
        </is>
      </c>
      <c r="E91" s="20" t="inlineStr">
        <is>
          <t>5а</t>
        </is>
      </c>
      <c r="F91" s="20" t="n">
        <v>5</v>
      </c>
      <c r="G91" s="20" t="inlineStr">
        <is>
          <t>ej26s0084</t>
        </is>
      </c>
      <c r="H91" s="20" t="inlineStr">
        <is>
          <t>ФА16310959</t>
        </is>
      </c>
      <c r="I91" s="20" t="inlineStr">
        <is>
          <t>Тийм</t>
        </is>
      </c>
    </row>
    <row r="92">
      <c r="A92" s="19" t="inlineStr">
        <is>
          <t>БОДИТ</t>
        </is>
      </c>
      <c r="B92" s="20" t="inlineStr">
        <is>
          <t>EJ-2627-S0104</t>
        </is>
      </c>
      <c r="C92" s="20" t="inlineStr">
        <is>
          <t>Дашзэвэг Уранзаяа</t>
        </is>
      </c>
      <c r="D92" s="20" t="inlineStr">
        <is>
          <t>EJ-2627-5A</t>
        </is>
      </c>
      <c r="E92" s="20" t="inlineStr">
        <is>
          <t>5а</t>
        </is>
      </c>
      <c r="F92" s="20" t="n">
        <v>5</v>
      </c>
      <c r="G92" s="20" t="inlineStr">
        <is>
          <t>ej26s0104</t>
        </is>
      </c>
      <c r="H92" s="20" t="inlineStr">
        <is>
          <t>УЧ16272241</t>
        </is>
      </c>
      <c r="I92" s="20" t="inlineStr">
        <is>
          <t>Тийм</t>
        </is>
      </c>
    </row>
    <row r="93">
      <c r="A93" s="19" t="inlineStr">
        <is>
          <t>БОДИТ</t>
        </is>
      </c>
      <c r="B93" s="20" t="inlineStr">
        <is>
          <t>EJ-2627-S0095</t>
        </is>
      </c>
      <c r="C93" s="20" t="inlineStr">
        <is>
          <t>Дэлгэрсүрэн Тэнүүн</t>
        </is>
      </c>
      <c r="D93" s="20" t="inlineStr">
        <is>
          <t>EJ-2627-5A</t>
        </is>
      </c>
      <c r="E93" s="20" t="inlineStr">
        <is>
          <t>5а</t>
        </is>
      </c>
      <c r="F93" s="20" t="n">
        <v>5</v>
      </c>
      <c r="G93" s="20" t="inlineStr">
        <is>
          <t>ej26s0095</t>
        </is>
      </c>
      <c r="H93" s="20" t="inlineStr">
        <is>
          <t>ЩТ16221514</t>
        </is>
      </c>
      <c r="I93" s="20" t="inlineStr">
        <is>
          <t>Тийм</t>
        </is>
      </c>
    </row>
    <row r="94">
      <c r="A94" s="19" t="inlineStr">
        <is>
          <t>БОДИТ</t>
        </is>
      </c>
      <c r="B94" s="20" t="inlineStr">
        <is>
          <t>EJ-2627-S0097</t>
        </is>
      </c>
      <c r="C94" s="20" t="inlineStr">
        <is>
          <t>Жавхланбаяр Чинхүсэл</t>
        </is>
      </c>
      <c r="D94" s="20" t="inlineStr">
        <is>
          <t>EJ-2627-5A</t>
        </is>
      </c>
      <c r="E94" s="20" t="inlineStr">
        <is>
          <t>5а</t>
        </is>
      </c>
      <c r="F94" s="20" t="n">
        <v>5</v>
      </c>
      <c r="G94" s="20" t="inlineStr">
        <is>
          <t>ej26s0097</t>
        </is>
      </c>
      <c r="H94" s="20" t="inlineStr">
        <is>
          <t>УО16290933</t>
        </is>
      </c>
      <c r="I94" s="20" t="inlineStr">
        <is>
          <t>Тийм</t>
        </is>
      </c>
    </row>
    <row r="95">
      <c r="A95" s="19" t="inlineStr">
        <is>
          <t>БОДИТ</t>
        </is>
      </c>
      <c r="B95" s="20" t="inlineStr">
        <is>
          <t>EJ-2627-S0099</t>
        </is>
      </c>
      <c r="C95" s="20" t="inlineStr">
        <is>
          <t>Мөнх-Очир Эрхэсхулан</t>
        </is>
      </c>
      <c r="D95" s="20" t="inlineStr">
        <is>
          <t>EJ-2627-5A</t>
        </is>
      </c>
      <c r="E95" s="20" t="inlineStr">
        <is>
          <t>5а</t>
        </is>
      </c>
      <c r="F95" s="20" t="n">
        <v>5</v>
      </c>
      <c r="G95" s="20" t="inlineStr">
        <is>
          <t>ej26s0099</t>
        </is>
      </c>
      <c r="H95" s="20" t="inlineStr">
        <is>
          <t>УП16291401</t>
        </is>
      </c>
      <c r="I95" s="20" t="inlineStr">
        <is>
          <t>Тийм</t>
        </is>
      </c>
    </row>
    <row r="96">
      <c r="A96" s="19" t="inlineStr">
        <is>
          <t>БОДИТ</t>
        </is>
      </c>
      <c r="B96" s="20" t="inlineStr">
        <is>
          <t>EJ-2627-S0081</t>
        </is>
      </c>
      <c r="C96" s="20" t="inlineStr">
        <is>
          <t>Мөнхбаатар Бадмаараг</t>
        </is>
      </c>
      <c r="D96" s="20" t="inlineStr">
        <is>
          <t>EJ-2627-5A</t>
        </is>
      </c>
      <c r="E96" s="20" t="inlineStr">
        <is>
          <t>5а</t>
        </is>
      </c>
      <c r="F96" s="20" t="n">
        <v>5</v>
      </c>
      <c r="G96" s="20" t="inlineStr">
        <is>
          <t>ej26s0081</t>
        </is>
      </c>
      <c r="H96" s="20" t="inlineStr">
        <is>
          <t>ЩК16311115</t>
        </is>
      </c>
      <c r="I96" s="20" t="inlineStr">
        <is>
          <t>Тийм</t>
        </is>
      </c>
    </row>
    <row r="97">
      <c r="A97" s="19" t="inlineStr">
        <is>
          <t>БОДИТ</t>
        </is>
      </c>
      <c r="B97" s="20" t="inlineStr">
        <is>
          <t>EJ-2627-S0100</t>
        </is>
      </c>
      <c r="C97" s="20" t="inlineStr">
        <is>
          <t>Мөнхзаяа Үжин</t>
        </is>
      </c>
      <c r="D97" s="20" t="inlineStr">
        <is>
          <t>EJ-2627-5A</t>
        </is>
      </c>
      <c r="E97" s="20" t="inlineStr">
        <is>
          <t>5а</t>
        </is>
      </c>
      <c r="F97" s="20" t="n">
        <v>5</v>
      </c>
      <c r="G97" s="20" t="inlineStr">
        <is>
          <t>ej26s0100</t>
        </is>
      </c>
      <c r="H97" s="20" t="inlineStr">
        <is>
          <t>УШ16211229</t>
        </is>
      </c>
      <c r="I97" s="20" t="inlineStr">
        <is>
          <t>Тийм</t>
        </is>
      </c>
    </row>
    <row r="98">
      <c r="A98" s="19" t="inlineStr">
        <is>
          <t>БОДИТ</t>
        </is>
      </c>
      <c r="B98" s="20" t="inlineStr">
        <is>
          <t>EJ-2627-S0086</t>
        </is>
      </c>
      <c r="C98" s="20" t="inlineStr">
        <is>
          <t>Мөнхманлай Мандуул</t>
        </is>
      </c>
      <c r="D98" s="20" t="inlineStr">
        <is>
          <t>EJ-2627-5A</t>
        </is>
      </c>
      <c r="E98" s="20" t="inlineStr">
        <is>
          <t>5а</t>
        </is>
      </c>
      <c r="F98" s="20" t="n">
        <v>5</v>
      </c>
      <c r="G98" s="20" t="inlineStr">
        <is>
          <t>ej26s0086</t>
        </is>
      </c>
      <c r="H98" s="20" t="inlineStr">
        <is>
          <t>УЖ16310634</t>
        </is>
      </c>
      <c r="I98" s="20" t="inlineStr">
        <is>
          <t>Тийм</t>
        </is>
      </c>
    </row>
    <row r="99">
      <c r="A99" s="19" t="inlineStr">
        <is>
          <t>БОДИТ</t>
        </is>
      </c>
      <c r="B99" s="20" t="inlineStr">
        <is>
          <t>EJ-2627-S0087</t>
        </is>
      </c>
      <c r="C99" s="20" t="inlineStr">
        <is>
          <t>Нэргүй Маргад-Эрдэнэ</t>
        </is>
      </c>
      <c r="D99" s="20" t="inlineStr">
        <is>
          <t>EJ-2627-5A</t>
        </is>
      </c>
      <c r="E99" s="20" t="inlineStr">
        <is>
          <t>5а</t>
        </is>
      </c>
      <c r="F99" s="20" t="n">
        <v>5</v>
      </c>
      <c r="G99" s="20" t="inlineStr">
        <is>
          <t>ej26s0087</t>
        </is>
      </c>
      <c r="H99" s="20" t="inlineStr">
        <is>
          <t>УБ16302875</t>
        </is>
      </c>
      <c r="I99" s="20" t="inlineStr">
        <is>
          <t>Тийм</t>
        </is>
      </c>
    </row>
    <row r="100">
      <c r="A100" s="19" t="inlineStr">
        <is>
          <t>БОДИТ</t>
        </is>
      </c>
      <c r="B100" s="20" t="inlineStr">
        <is>
          <t>EJ-2627-S0083</t>
        </is>
      </c>
      <c r="C100" s="20" t="inlineStr">
        <is>
          <t>Оросоо Егү</t>
        </is>
      </c>
      <c r="D100" s="20" t="inlineStr">
        <is>
          <t>EJ-2627-5A</t>
        </is>
      </c>
      <c r="E100" s="20" t="inlineStr">
        <is>
          <t>5а</t>
        </is>
      </c>
      <c r="F100" s="20" t="n">
        <v>5</v>
      </c>
      <c r="G100" s="20" t="inlineStr">
        <is>
          <t>ej26s0083</t>
        </is>
      </c>
      <c r="H100" s="20" t="inlineStr">
        <is>
          <t>УЗ16231839</t>
        </is>
      </c>
      <c r="I100" s="20" t="inlineStr">
        <is>
          <t>Тийм</t>
        </is>
      </c>
    </row>
    <row r="101">
      <c r="A101" s="19" t="inlineStr">
        <is>
          <t>БОДИТ</t>
        </is>
      </c>
      <c r="B101" s="20" t="inlineStr">
        <is>
          <t>EJ-2627-S0080</t>
        </is>
      </c>
      <c r="C101" s="20" t="inlineStr">
        <is>
          <t>Пүрэвсүрэн Ариунсаран</t>
        </is>
      </c>
      <c r="D101" s="20" t="inlineStr">
        <is>
          <t>EJ-2627-5A</t>
        </is>
      </c>
      <c r="E101" s="20" t="inlineStr">
        <is>
          <t>5а</t>
        </is>
      </c>
      <c r="F101" s="20" t="n">
        <v>5</v>
      </c>
      <c r="G101" s="20" t="inlineStr">
        <is>
          <t>ej26s0080</t>
        </is>
      </c>
      <c r="H101" s="20" t="inlineStr">
        <is>
          <t>ЩТ16221702</t>
        </is>
      </c>
      <c r="I101" s="20" t="inlineStr">
        <is>
          <t>Тийм</t>
        </is>
      </c>
    </row>
    <row r="102">
      <c r="A102" s="19" t="inlineStr">
        <is>
          <t>БОДИТ</t>
        </is>
      </c>
      <c r="B102" s="20" t="inlineStr">
        <is>
          <t>EJ-2627-S0105</t>
        </is>
      </c>
      <c r="C102" s="20" t="inlineStr">
        <is>
          <t>Санжаажав Гаанжуур</t>
        </is>
      </c>
      <c r="D102" s="20" t="inlineStr">
        <is>
          <t>EJ-2627-5A</t>
        </is>
      </c>
      <c r="E102" s="20" t="inlineStr">
        <is>
          <t>5а</t>
        </is>
      </c>
      <c r="F102" s="20" t="n">
        <v>5</v>
      </c>
      <c r="G102" s="20" t="inlineStr">
        <is>
          <t>ej26s0105</t>
        </is>
      </c>
      <c r="H102" s="20" t="inlineStr">
        <is>
          <t>ФА16211710</t>
        </is>
      </c>
      <c r="I102" s="20" t="inlineStr">
        <is>
          <t>Тийм</t>
        </is>
      </c>
    </row>
    <row r="103">
      <c r="A103" s="19" t="inlineStr">
        <is>
          <t>БОДИТ</t>
        </is>
      </c>
      <c r="B103" s="20" t="inlineStr">
        <is>
          <t>EJ-2627-S0085</t>
        </is>
      </c>
      <c r="C103" s="20" t="inlineStr">
        <is>
          <t>Сансар Итгэлочир</t>
        </is>
      </c>
      <c r="D103" s="20" t="inlineStr">
        <is>
          <t>EJ-2627-5A</t>
        </is>
      </c>
      <c r="E103" s="20" t="inlineStr">
        <is>
          <t>5а</t>
        </is>
      </c>
      <c r="F103" s="20" t="n">
        <v>5</v>
      </c>
      <c r="G103" s="20" t="inlineStr">
        <is>
          <t>ej26s0085</t>
        </is>
      </c>
      <c r="H103" s="20" t="inlineStr">
        <is>
          <t>УЖ16242311</t>
        </is>
      </c>
      <c r="I103" s="20" t="inlineStr">
        <is>
          <t>Тийм</t>
        </is>
      </c>
    </row>
    <row r="104">
      <c r="A104" s="19" t="inlineStr">
        <is>
          <t>БОДИТ</t>
        </is>
      </c>
      <c r="B104" s="20" t="inlineStr">
        <is>
          <t>EJ-2627-S0082</t>
        </is>
      </c>
      <c r="C104" s="20" t="inlineStr">
        <is>
          <t>Тулга Билигт-Очир</t>
        </is>
      </c>
      <c r="D104" s="20" t="inlineStr">
        <is>
          <t>EJ-2627-5A</t>
        </is>
      </c>
      <c r="E104" s="20" t="inlineStr">
        <is>
          <t>5а</t>
        </is>
      </c>
      <c r="F104" s="20" t="n">
        <v>5</v>
      </c>
      <c r="G104" s="20" t="inlineStr">
        <is>
          <t>ej26s0082</t>
        </is>
      </c>
      <c r="H104" s="20" t="inlineStr">
        <is>
          <t>УЖ16262014</t>
        </is>
      </c>
      <c r="I104" s="20" t="inlineStr">
        <is>
          <t>Тийм</t>
        </is>
      </c>
    </row>
    <row r="105">
      <c r="A105" s="19" t="inlineStr">
        <is>
          <t>БОДИТ</t>
        </is>
      </c>
      <c r="B105" s="20" t="inlineStr">
        <is>
          <t>EJ-2627-S0102</t>
        </is>
      </c>
      <c r="C105" s="20" t="inlineStr">
        <is>
          <t>Цолмон Амин-Эрдэнэ</t>
        </is>
      </c>
      <c r="D105" s="20" t="inlineStr">
        <is>
          <t>EJ-2627-5A</t>
        </is>
      </c>
      <c r="E105" s="20" t="inlineStr">
        <is>
          <t>5а</t>
        </is>
      </c>
      <c r="F105" s="20" t="n">
        <v>5</v>
      </c>
      <c r="G105" s="20" t="inlineStr">
        <is>
          <t>ej26s0102</t>
        </is>
      </c>
      <c r="H105" s="20" t="inlineStr">
        <is>
          <t>УЗ16291005</t>
        </is>
      </c>
      <c r="I105" s="20" t="inlineStr">
        <is>
          <t>Тийм</t>
        </is>
      </c>
    </row>
    <row r="106">
      <c r="A106" s="19" t="inlineStr">
        <is>
          <t>БОДИТ</t>
        </is>
      </c>
      <c r="B106" s="20" t="inlineStr">
        <is>
          <t>EJ-2627-S0101</t>
        </is>
      </c>
      <c r="C106" s="20" t="inlineStr">
        <is>
          <t>Цэрэндаш Өнөмандах</t>
        </is>
      </c>
      <c r="D106" s="20" t="inlineStr">
        <is>
          <t>EJ-2627-5A</t>
        </is>
      </c>
      <c r="E106" s="20" t="inlineStr">
        <is>
          <t>5а</t>
        </is>
      </c>
      <c r="F106" s="20" t="n">
        <v>5</v>
      </c>
      <c r="G106" s="20" t="inlineStr">
        <is>
          <t>ej26s0101</t>
        </is>
      </c>
      <c r="H106" s="20" t="inlineStr">
        <is>
          <t>УВ16241873</t>
        </is>
      </c>
      <c r="I106" s="20" t="inlineStr">
        <is>
          <t>Тийм</t>
        </is>
      </c>
    </row>
    <row r="107">
      <c r="A107" s="19" t="inlineStr">
        <is>
          <t>БОДИТ</t>
        </is>
      </c>
      <c r="B107" s="20" t="inlineStr">
        <is>
          <t>EJ-2627-S0088</t>
        </is>
      </c>
      <c r="C107" s="20" t="inlineStr">
        <is>
          <t>Чинзориг Номин-Эрдэнэ</t>
        </is>
      </c>
      <c r="D107" s="20" t="inlineStr">
        <is>
          <t>EJ-2627-5A</t>
        </is>
      </c>
      <c r="E107" s="20" t="inlineStr">
        <is>
          <t>5а</t>
        </is>
      </c>
      <c r="F107" s="20" t="n">
        <v>5</v>
      </c>
      <c r="G107" s="20" t="inlineStr">
        <is>
          <t>ej26s0088</t>
        </is>
      </c>
      <c r="H107" s="20" t="inlineStr">
        <is>
          <t>УО15290266</t>
        </is>
      </c>
      <c r="I107" s="20" t="inlineStr">
        <is>
          <t>Тийм</t>
        </is>
      </c>
    </row>
    <row r="108">
      <c r="A108" s="19" t="inlineStr">
        <is>
          <t>БОДИТ</t>
        </is>
      </c>
      <c r="B108" s="20" t="inlineStr">
        <is>
          <t>EJ-2627-S0098</t>
        </is>
      </c>
      <c r="C108" s="20" t="inlineStr">
        <is>
          <t>Энхпүрэв Энхтүвшин</t>
        </is>
      </c>
      <c r="D108" s="20" t="inlineStr">
        <is>
          <t>EJ-2627-5A</t>
        </is>
      </c>
      <c r="E108" s="20" t="inlineStr">
        <is>
          <t>5а</t>
        </is>
      </c>
      <c r="F108" s="20" t="n">
        <v>5</v>
      </c>
      <c r="G108" s="20" t="inlineStr">
        <is>
          <t>ej26s0098</t>
        </is>
      </c>
      <c r="H108" s="20" t="inlineStr">
        <is>
          <t>УУ16222677</t>
        </is>
      </c>
      <c r="I108" s="20" t="inlineStr">
        <is>
          <t>Тийм</t>
        </is>
      </c>
    </row>
    <row r="109">
      <c r="A109" s="19" t="inlineStr">
        <is>
          <t>БОДИТ</t>
        </is>
      </c>
      <c r="B109" s="20" t="inlineStr">
        <is>
          <t>EJ-2627-S0089</t>
        </is>
      </c>
      <c r="C109" s="20" t="inlineStr">
        <is>
          <t>Эрдэнэбаяр Нэгдэхэрдэнэ</t>
        </is>
      </c>
      <c r="D109" s="20" t="inlineStr">
        <is>
          <t>EJ-2627-5A</t>
        </is>
      </c>
      <c r="E109" s="20" t="inlineStr">
        <is>
          <t>5а</t>
        </is>
      </c>
      <c r="F109" s="20" t="n">
        <v>5</v>
      </c>
      <c r="G109" s="20" t="inlineStr">
        <is>
          <t>ej26s0089</t>
        </is>
      </c>
      <c r="H109" s="20" t="inlineStr">
        <is>
          <t>ЙН16241111</t>
        </is>
      </c>
      <c r="I109" s="20" t="inlineStr">
        <is>
          <t>Тийм</t>
        </is>
      </c>
    </row>
    <row r="110">
      <c r="A110" s="19" t="inlineStr">
        <is>
          <t>БОДИТ</t>
        </is>
      </c>
      <c r="B110" s="20" t="inlineStr">
        <is>
          <t>EJ-2627-S0096</t>
        </is>
      </c>
      <c r="C110" s="20" t="inlineStr">
        <is>
          <t>Эрдэнэболд Цэцболд</t>
        </is>
      </c>
      <c r="D110" s="20" t="inlineStr">
        <is>
          <t>EJ-2627-5A</t>
        </is>
      </c>
      <c r="E110" s="20" t="inlineStr">
        <is>
          <t>5а</t>
        </is>
      </c>
      <c r="F110" s="20" t="n">
        <v>5</v>
      </c>
      <c r="G110" s="20" t="inlineStr">
        <is>
          <t>ej26s0096</t>
        </is>
      </c>
      <c r="H110" s="20" t="inlineStr">
        <is>
          <t>УЖ16250153</t>
        </is>
      </c>
      <c r="I110" s="20" t="inlineStr">
        <is>
          <t>Тийм</t>
        </is>
      </c>
    </row>
    <row r="111">
      <c r="A111" s="19" t="inlineStr">
        <is>
          <t>БОДИТ</t>
        </is>
      </c>
      <c r="B111" s="20" t="inlineStr">
        <is>
          <t>EJ-2627-S0108</t>
        </is>
      </c>
      <c r="C111" s="20" t="inlineStr">
        <is>
          <t>Анхбаяр Дөлгөөнмөрөн</t>
        </is>
      </c>
      <c r="D111" s="20" t="inlineStr">
        <is>
          <t>EJ-2627-6A</t>
        </is>
      </c>
      <c r="E111" s="20" t="inlineStr">
        <is>
          <t>6а</t>
        </is>
      </c>
      <c r="F111" s="20" t="n">
        <v>6</v>
      </c>
      <c r="G111" s="20" t="inlineStr">
        <is>
          <t>ej26s0108</t>
        </is>
      </c>
      <c r="H111" s="20" t="inlineStr">
        <is>
          <t>УУ15292945</t>
        </is>
      </c>
      <c r="I111" s="20" t="inlineStr">
        <is>
          <t>Тийм</t>
        </is>
      </c>
    </row>
    <row r="112">
      <c r="A112" s="19" t="inlineStr">
        <is>
          <t>БОДИТ</t>
        </is>
      </c>
      <c r="B112" s="20" t="inlineStr">
        <is>
          <t>EJ-2627-S0113</t>
        </is>
      </c>
      <c r="C112" s="20" t="inlineStr">
        <is>
          <t>Аюушбаатар Мөнхжин</t>
        </is>
      </c>
      <c r="D112" s="20" t="inlineStr">
        <is>
          <t>EJ-2627-6A</t>
        </is>
      </c>
      <c r="E112" s="20" t="inlineStr">
        <is>
          <t>6а</t>
        </is>
      </c>
      <c r="F112" s="20" t="n">
        <v>6</v>
      </c>
      <c r="G112" s="20" t="inlineStr">
        <is>
          <t>ej26s0113</t>
        </is>
      </c>
      <c r="H112" s="20" t="inlineStr">
        <is>
          <t>УЦ15281866</t>
        </is>
      </c>
      <c r="I112" s="20" t="inlineStr">
        <is>
          <t>Тийм</t>
        </is>
      </c>
    </row>
    <row r="113">
      <c r="A113" s="19" t="inlineStr">
        <is>
          <t>БОДИТ</t>
        </is>
      </c>
      <c r="B113" s="20" t="inlineStr">
        <is>
          <t>EJ-2627-S0129</t>
        </is>
      </c>
      <c r="C113" s="20" t="inlineStr">
        <is>
          <t>Батбаяр Мишээл</t>
        </is>
      </c>
      <c r="D113" s="20" t="inlineStr">
        <is>
          <t>EJ-2627-6A</t>
        </is>
      </c>
      <c r="E113" s="20" t="inlineStr">
        <is>
          <t>6а</t>
        </is>
      </c>
      <c r="F113" s="20" t="n">
        <v>6</v>
      </c>
      <c r="G113" s="20" t="inlineStr">
        <is>
          <t>ej26s0129</t>
        </is>
      </c>
      <c r="H113" s="20" t="inlineStr">
        <is>
          <t>УА15242961</t>
        </is>
      </c>
      <c r="I113" s="20" t="inlineStr">
        <is>
          <t>Тийм</t>
        </is>
      </c>
    </row>
    <row r="114">
      <c r="A114" s="19" t="inlineStr">
        <is>
          <t>БОДИТ</t>
        </is>
      </c>
      <c r="B114" s="20" t="inlineStr">
        <is>
          <t>EJ-2627-S0128</t>
        </is>
      </c>
      <c r="C114" s="20" t="inlineStr">
        <is>
          <t>Батболд Амармэнд</t>
        </is>
      </c>
      <c r="D114" s="20" t="inlineStr">
        <is>
          <t>EJ-2627-6A</t>
        </is>
      </c>
      <c r="E114" s="20" t="inlineStr">
        <is>
          <t>6а</t>
        </is>
      </c>
      <c r="F114" s="20" t="n">
        <v>6</v>
      </c>
      <c r="G114" s="20" t="inlineStr">
        <is>
          <t>ej26s0128</t>
        </is>
      </c>
      <c r="H114" s="20" t="inlineStr">
        <is>
          <t>УО15211032</t>
        </is>
      </c>
      <c r="I114" s="20" t="inlineStr">
        <is>
          <t>Тийм</t>
        </is>
      </c>
    </row>
    <row r="115">
      <c r="A115" s="19" t="inlineStr">
        <is>
          <t>БОДИТ</t>
        </is>
      </c>
      <c r="B115" s="20" t="inlineStr">
        <is>
          <t>EJ-2627-S0127</t>
        </is>
      </c>
      <c r="C115" s="20" t="inlineStr">
        <is>
          <t>Батсүх Хангал</t>
        </is>
      </c>
      <c r="D115" s="20" t="inlineStr">
        <is>
          <t>EJ-2627-6A</t>
        </is>
      </c>
      <c r="E115" s="20" t="inlineStr">
        <is>
          <t>6а</t>
        </is>
      </c>
      <c r="F115" s="20" t="n">
        <v>6</v>
      </c>
      <c r="G115" s="20" t="inlineStr">
        <is>
          <t>ej26s0127</t>
        </is>
      </c>
      <c r="H115" s="20" t="inlineStr">
        <is>
          <t>УЖ15300511</t>
        </is>
      </c>
      <c r="I115" s="20" t="inlineStr">
        <is>
          <t>Тийм</t>
        </is>
      </c>
    </row>
    <row r="116">
      <c r="A116" s="19" t="inlineStr">
        <is>
          <t>БОДИТ</t>
        </is>
      </c>
      <c r="B116" s="20" t="inlineStr">
        <is>
          <t>EJ-2627-S0125</t>
        </is>
      </c>
      <c r="C116" s="20" t="inlineStr">
        <is>
          <t>Баярбат Уранбилэг</t>
        </is>
      </c>
      <c r="D116" s="20" t="inlineStr">
        <is>
          <t>EJ-2627-6A</t>
        </is>
      </c>
      <c r="E116" s="20" t="inlineStr">
        <is>
          <t>6а</t>
        </is>
      </c>
      <c r="F116" s="20" t="n">
        <v>6</v>
      </c>
      <c r="G116" s="20" t="inlineStr">
        <is>
          <t>ej26s0125</t>
        </is>
      </c>
      <c r="H116" s="20" t="inlineStr">
        <is>
          <t>ЙБ15220407</t>
        </is>
      </c>
      <c r="I116" s="20" t="inlineStr">
        <is>
          <t>Тийм</t>
        </is>
      </c>
    </row>
    <row r="117">
      <c r="A117" s="19" t="inlineStr">
        <is>
          <t>БОДИТ</t>
        </is>
      </c>
      <c r="B117" s="20" t="inlineStr">
        <is>
          <t>EJ-2627-S0134</t>
        </is>
      </c>
      <c r="C117" s="20" t="inlineStr">
        <is>
          <t>Ганбаяр Бодь-билигт</t>
        </is>
      </c>
      <c r="D117" s="20" t="inlineStr">
        <is>
          <t>EJ-2627-6A</t>
        </is>
      </c>
      <c r="E117" s="20" t="inlineStr">
        <is>
          <t>6а</t>
        </is>
      </c>
      <c r="F117" s="20" t="n">
        <v>6</v>
      </c>
      <c r="G117" s="20" t="inlineStr">
        <is>
          <t>ej26s0134</t>
        </is>
      </c>
      <c r="H117" s="20" t="inlineStr">
        <is>
          <t>УО15312990</t>
        </is>
      </c>
      <c r="I117" s="20" t="inlineStr">
        <is>
          <t>Тийм</t>
        </is>
      </c>
    </row>
    <row r="118">
      <c r="A118" s="19" t="inlineStr">
        <is>
          <t>БОДИТ</t>
        </is>
      </c>
      <c r="B118" s="20" t="inlineStr">
        <is>
          <t>EJ-2627-S0131</t>
        </is>
      </c>
      <c r="C118" s="20" t="inlineStr">
        <is>
          <t>Гантулга Ундрам</t>
        </is>
      </c>
      <c r="D118" s="20" t="inlineStr">
        <is>
          <t>EJ-2627-6A</t>
        </is>
      </c>
      <c r="E118" s="20" t="inlineStr">
        <is>
          <t>6а</t>
        </is>
      </c>
      <c r="F118" s="20" t="n">
        <v>6</v>
      </c>
      <c r="G118" s="20" t="inlineStr">
        <is>
          <t>ej26s0131</t>
        </is>
      </c>
      <c r="H118" s="20" t="inlineStr">
        <is>
          <t>УО15312225</t>
        </is>
      </c>
      <c r="I118" s="20" t="inlineStr">
        <is>
          <t>Тийм</t>
        </is>
      </c>
    </row>
    <row r="119">
      <c r="A119" s="19" t="inlineStr">
        <is>
          <t>БОДИТ</t>
        </is>
      </c>
      <c r="B119" s="20" t="inlineStr">
        <is>
          <t>EJ-2627-S0112</t>
        </is>
      </c>
      <c r="C119" s="20" t="inlineStr">
        <is>
          <t>Даваасайхан Мишээл</t>
        </is>
      </c>
      <c r="D119" s="20" t="inlineStr">
        <is>
          <t>EJ-2627-6A</t>
        </is>
      </c>
      <c r="E119" s="20" t="inlineStr">
        <is>
          <t>6а</t>
        </is>
      </c>
      <c r="F119" s="20" t="n">
        <v>6</v>
      </c>
      <c r="G119" s="20" t="inlineStr">
        <is>
          <t>ej26s0112</t>
        </is>
      </c>
      <c r="H119" s="20" t="inlineStr">
        <is>
          <t>УН15301284</t>
        </is>
      </c>
      <c r="I119" s="20" t="inlineStr">
        <is>
          <t>Тийм</t>
        </is>
      </c>
    </row>
    <row r="120">
      <c r="A120" s="19" t="inlineStr">
        <is>
          <t>БОДИТ</t>
        </is>
      </c>
      <c r="B120" s="20" t="inlineStr">
        <is>
          <t>EJ-2627-S0115</t>
        </is>
      </c>
      <c r="C120" s="20" t="inlineStr">
        <is>
          <t>Дөлгөөн Тайванбат</t>
        </is>
      </c>
      <c r="D120" s="20" t="inlineStr">
        <is>
          <t>EJ-2627-6A</t>
        </is>
      </c>
      <c r="E120" s="20" t="inlineStr">
        <is>
          <t>6а</t>
        </is>
      </c>
      <c r="F120" s="20" t="n">
        <v>6</v>
      </c>
      <c r="G120" s="20" t="inlineStr">
        <is>
          <t>ej26s0115</t>
        </is>
      </c>
      <c r="H120" s="20" t="inlineStr">
        <is>
          <t>ЩЖ15291772</t>
        </is>
      </c>
      <c r="I120" s="20" t="inlineStr">
        <is>
          <t>Тийм</t>
        </is>
      </c>
    </row>
    <row r="121">
      <c r="A121" s="19" t="inlineStr">
        <is>
          <t>БОДИТ</t>
        </is>
      </c>
      <c r="B121" s="20" t="inlineStr">
        <is>
          <t>EJ-2627-S0126</t>
        </is>
      </c>
      <c r="C121" s="20" t="inlineStr">
        <is>
          <t>Ербулан Зере</t>
        </is>
      </c>
      <c r="D121" s="20" t="inlineStr">
        <is>
          <t>EJ-2627-6A</t>
        </is>
      </c>
      <c r="E121" s="20" t="inlineStr">
        <is>
          <t>6а</t>
        </is>
      </c>
      <c r="F121" s="20" t="n">
        <v>6</v>
      </c>
      <c r="G121" s="20" t="inlineStr">
        <is>
          <t>ej26s0126</t>
        </is>
      </c>
      <c r="H121" s="20" t="inlineStr">
        <is>
          <t>УЛ15260205</t>
        </is>
      </c>
      <c r="I121" s="20" t="inlineStr">
        <is>
          <t>Тийм</t>
        </is>
      </c>
    </row>
    <row r="122">
      <c r="A122" s="19" t="inlineStr">
        <is>
          <t>БОДИТ</t>
        </is>
      </c>
      <c r="B122" s="20" t="inlineStr">
        <is>
          <t>EJ-2627-S0117</t>
        </is>
      </c>
      <c r="C122" s="20" t="inlineStr">
        <is>
          <t>Лхамсүрэн Цэлмэг</t>
        </is>
      </c>
      <c r="D122" s="20" t="inlineStr">
        <is>
          <t>EJ-2627-6A</t>
        </is>
      </c>
      <c r="E122" s="20" t="inlineStr">
        <is>
          <t>6а</t>
        </is>
      </c>
      <c r="F122" s="20" t="n">
        <v>6</v>
      </c>
      <c r="G122" s="20" t="inlineStr">
        <is>
          <t>ej26s0117</t>
        </is>
      </c>
      <c r="H122" s="20" t="inlineStr">
        <is>
          <t>УЗ15261955</t>
        </is>
      </c>
      <c r="I122" s="20" t="inlineStr">
        <is>
          <t>Тийм</t>
        </is>
      </c>
    </row>
    <row r="123">
      <c r="A123" s="19" t="inlineStr">
        <is>
          <t>БОДИТ</t>
        </is>
      </c>
      <c r="B123" s="20" t="inlineStr">
        <is>
          <t>EJ-2627-S0130</t>
        </is>
      </c>
      <c r="C123" s="20" t="inlineStr">
        <is>
          <t>Мин Ху Мина</t>
        </is>
      </c>
      <c r="D123" s="20" t="inlineStr">
        <is>
          <t>EJ-2627-6A</t>
        </is>
      </c>
      <c r="E123" s="20" t="inlineStr">
        <is>
          <t>6а</t>
        </is>
      </c>
      <c r="F123" s="20" t="n">
        <v>6</v>
      </c>
      <c r="G123" s="20" t="inlineStr">
        <is>
          <t>ej26s0130</t>
        </is>
      </c>
      <c r="H123" s="20" t="inlineStr">
        <is>
          <t>УМ15270801</t>
        </is>
      </c>
      <c r="I123" s="20" t="inlineStr">
        <is>
          <t>Тийм</t>
        </is>
      </c>
    </row>
    <row r="124">
      <c r="A124" s="19" t="inlineStr">
        <is>
          <t>БОДИТ</t>
        </is>
      </c>
      <c r="B124" s="20" t="inlineStr">
        <is>
          <t>EJ-2627-S0110</t>
        </is>
      </c>
      <c r="C124" s="20" t="inlineStr">
        <is>
          <t>Мөнх-Ерөөлт Есүхэй</t>
        </is>
      </c>
      <c r="D124" s="20" t="inlineStr">
        <is>
          <t>EJ-2627-6A</t>
        </is>
      </c>
      <c r="E124" s="20" t="inlineStr">
        <is>
          <t>6а</t>
        </is>
      </c>
      <c r="F124" s="20" t="n">
        <v>6</v>
      </c>
      <c r="G124" s="20" t="inlineStr">
        <is>
          <t>ej26s0110</t>
        </is>
      </c>
      <c r="H124" s="20" t="inlineStr">
        <is>
          <t>УТ15281739</t>
        </is>
      </c>
      <c r="I124" s="20" t="inlineStr">
        <is>
          <t>Тийм</t>
        </is>
      </c>
    </row>
    <row r="125">
      <c r="A125" s="19" t="inlineStr">
        <is>
          <t>БОДИТ</t>
        </is>
      </c>
      <c r="B125" s="20" t="inlineStr">
        <is>
          <t>EJ-2627-S0119</t>
        </is>
      </c>
      <c r="C125" s="20" t="inlineStr">
        <is>
          <t>Мөнхжаргал Эгшиглэн</t>
        </is>
      </c>
      <c r="D125" s="20" t="inlineStr">
        <is>
          <t>EJ-2627-6A</t>
        </is>
      </c>
      <c r="E125" s="20" t="inlineStr">
        <is>
          <t>6а</t>
        </is>
      </c>
      <c r="F125" s="20" t="n">
        <v>6</v>
      </c>
      <c r="G125" s="20" t="inlineStr">
        <is>
          <t>ej26s0119</t>
        </is>
      </c>
      <c r="H125" s="20" t="inlineStr">
        <is>
          <t>УЖ15260827</t>
        </is>
      </c>
      <c r="I125" s="20" t="inlineStr">
        <is>
          <t>Тийм</t>
        </is>
      </c>
    </row>
    <row r="126">
      <c r="A126" s="19" t="inlineStr">
        <is>
          <t>БОДИТ</t>
        </is>
      </c>
      <c r="B126" s="20" t="inlineStr">
        <is>
          <t>EJ-2627-S0120</t>
        </is>
      </c>
      <c r="C126" s="20" t="inlineStr">
        <is>
          <t>Оргилбат Энх-Үүлэн</t>
        </is>
      </c>
      <c r="D126" s="20" t="inlineStr">
        <is>
          <t>EJ-2627-6A</t>
        </is>
      </c>
      <c r="E126" s="20" t="inlineStr">
        <is>
          <t>6а</t>
        </is>
      </c>
      <c r="F126" s="20" t="n">
        <v>6</v>
      </c>
      <c r="G126" s="20" t="inlineStr">
        <is>
          <t>ej26s0120</t>
        </is>
      </c>
      <c r="H126" s="20" t="inlineStr">
        <is>
          <t>УЛ15262441</t>
        </is>
      </c>
      <c r="I126" s="20" t="inlineStr">
        <is>
          <t>Тийм</t>
        </is>
      </c>
    </row>
    <row r="127">
      <c r="A127" s="19" t="inlineStr">
        <is>
          <t>БОДИТ</t>
        </is>
      </c>
      <c r="B127" s="20" t="inlineStr">
        <is>
          <t>EJ-2627-S0107</t>
        </is>
      </c>
      <c r="C127" s="20" t="inlineStr">
        <is>
          <t>Оюунсан Аръяатара</t>
        </is>
      </c>
      <c r="D127" s="20" t="inlineStr">
        <is>
          <t>EJ-2627-6A</t>
        </is>
      </c>
      <c r="E127" s="20" t="inlineStr">
        <is>
          <t>6а</t>
        </is>
      </c>
      <c r="F127" s="20" t="n">
        <v>6</v>
      </c>
      <c r="G127" s="20" t="inlineStr">
        <is>
          <t>ej26s0107</t>
        </is>
      </c>
      <c r="H127" s="20" t="inlineStr">
        <is>
          <t>УУ15211527</t>
        </is>
      </c>
      <c r="I127" s="20" t="inlineStr">
        <is>
          <t>Тийм</t>
        </is>
      </c>
    </row>
    <row r="128">
      <c r="A128" s="19" t="inlineStr">
        <is>
          <t>БОДИТ</t>
        </is>
      </c>
      <c r="B128" s="20" t="inlineStr">
        <is>
          <t>EJ-2627-S0118</t>
        </is>
      </c>
      <c r="C128" s="20" t="inlineStr">
        <is>
          <t>Пүрэвдорж Шүүдэр</t>
        </is>
      </c>
      <c r="D128" s="20" t="inlineStr">
        <is>
          <t>EJ-2627-6A</t>
        </is>
      </c>
      <c r="E128" s="20" t="inlineStr">
        <is>
          <t>6а</t>
        </is>
      </c>
      <c r="F128" s="20" t="n">
        <v>6</v>
      </c>
      <c r="G128" s="20" t="inlineStr">
        <is>
          <t>ej26s0118</t>
        </is>
      </c>
      <c r="H128" s="20" t="inlineStr">
        <is>
          <t>УЖ15263046</t>
        </is>
      </c>
      <c r="I128" s="20" t="inlineStr">
        <is>
          <t>Тийм</t>
        </is>
      </c>
    </row>
    <row r="129">
      <c r="A129" s="19" t="inlineStr">
        <is>
          <t>БОДИТ</t>
        </is>
      </c>
      <c r="B129" s="20" t="inlineStr">
        <is>
          <t>EJ-2627-S0116</t>
        </is>
      </c>
      <c r="C129" s="20" t="inlineStr">
        <is>
          <t>Пүрэвцэрэн Уранзаяа</t>
        </is>
      </c>
      <c r="D129" s="20" t="inlineStr">
        <is>
          <t>EJ-2627-6A</t>
        </is>
      </c>
      <c r="E129" s="20" t="inlineStr">
        <is>
          <t>6а</t>
        </is>
      </c>
      <c r="F129" s="20" t="n">
        <v>6</v>
      </c>
      <c r="G129" s="20" t="inlineStr">
        <is>
          <t>ej26s0116</t>
        </is>
      </c>
      <c r="H129" s="20" t="inlineStr">
        <is>
          <t>УЖ15290465</t>
        </is>
      </c>
      <c r="I129" s="20" t="inlineStr">
        <is>
          <t>Тийм</t>
        </is>
      </c>
    </row>
    <row r="130">
      <c r="A130" s="19" t="inlineStr">
        <is>
          <t>БОДИТ</t>
        </is>
      </c>
      <c r="B130" s="20" t="inlineStr">
        <is>
          <t>EJ-2627-S0109</t>
        </is>
      </c>
      <c r="C130" s="20" t="inlineStr">
        <is>
          <t>Содномдорж Есүй</t>
        </is>
      </c>
      <c r="D130" s="20" t="inlineStr">
        <is>
          <t>EJ-2627-6A</t>
        </is>
      </c>
      <c r="E130" s="20" t="inlineStr">
        <is>
          <t>6а</t>
        </is>
      </c>
      <c r="F130" s="20" t="n">
        <v>6</v>
      </c>
      <c r="G130" s="20" t="inlineStr">
        <is>
          <t>ej26s0109</t>
        </is>
      </c>
      <c r="H130" s="20" t="inlineStr">
        <is>
          <t>УЦ15241941</t>
        </is>
      </c>
      <c r="I130" s="20" t="inlineStr">
        <is>
          <t>Тийм</t>
        </is>
      </c>
    </row>
    <row r="131">
      <c r="A131" s="19" t="inlineStr">
        <is>
          <t>БОДИТ</t>
        </is>
      </c>
      <c r="B131" s="20" t="inlineStr">
        <is>
          <t>EJ-2627-S0106</t>
        </is>
      </c>
      <c r="C131" s="20" t="inlineStr">
        <is>
          <t>Солонго Анандбазар</t>
        </is>
      </c>
      <c r="D131" s="20" t="inlineStr">
        <is>
          <t>EJ-2627-6A</t>
        </is>
      </c>
      <c r="E131" s="20" t="inlineStr">
        <is>
          <t>6а</t>
        </is>
      </c>
      <c r="F131" s="20" t="n">
        <v>6</v>
      </c>
      <c r="G131" s="20" t="inlineStr">
        <is>
          <t>ej26s0106</t>
        </is>
      </c>
      <c r="H131" s="20" t="inlineStr">
        <is>
          <t>УФ15242913</t>
        </is>
      </c>
      <c r="I131" s="20" t="inlineStr">
        <is>
          <t>Тийм</t>
        </is>
      </c>
    </row>
    <row r="132">
      <c r="A132" s="19" t="inlineStr">
        <is>
          <t>БОДИТ</t>
        </is>
      </c>
      <c r="B132" s="20" t="inlineStr">
        <is>
          <t>EJ-2627-S0111</t>
        </is>
      </c>
      <c r="C132" s="20" t="inlineStr">
        <is>
          <t>Түвшинжаргал Мишээл</t>
        </is>
      </c>
      <c r="D132" s="20" t="inlineStr">
        <is>
          <t>EJ-2627-6A</t>
        </is>
      </c>
      <c r="E132" s="20" t="inlineStr">
        <is>
          <t>6а</t>
        </is>
      </c>
      <c r="F132" s="20" t="n">
        <v>6</v>
      </c>
      <c r="G132" s="20" t="inlineStr">
        <is>
          <t>ej26s0111</t>
        </is>
      </c>
      <c r="H132" s="20" t="inlineStr">
        <is>
          <t>УЖ15263000</t>
        </is>
      </c>
      <c r="I132" s="20" t="inlineStr">
        <is>
          <t>Тийм</t>
        </is>
      </c>
    </row>
    <row r="133">
      <c r="A133" s="19" t="inlineStr">
        <is>
          <t>БОДИТ</t>
        </is>
      </c>
      <c r="B133" s="20" t="inlineStr">
        <is>
          <t>EJ-2627-S0132</t>
        </is>
      </c>
      <c r="C133" s="20" t="inlineStr">
        <is>
          <t>Ууганбаяр Марал-Үжин</t>
        </is>
      </c>
      <c r="D133" s="20" t="inlineStr">
        <is>
          <t>EJ-2627-6A</t>
        </is>
      </c>
      <c r="E133" s="20" t="inlineStr">
        <is>
          <t>6а</t>
        </is>
      </c>
      <c r="F133" s="20" t="n">
        <v>6</v>
      </c>
      <c r="G133" s="20" t="inlineStr">
        <is>
          <t>ej26s0132</t>
        </is>
      </c>
      <c r="H133" s="20" t="inlineStr">
        <is>
          <t>УК15322023</t>
        </is>
      </c>
      <c r="I133" s="20" t="inlineStr">
        <is>
          <t>Тийм</t>
        </is>
      </c>
    </row>
    <row r="134">
      <c r="A134" s="19" t="inlineStr">
        <is>
          <t>БОДИТ</t>
        </is>
      </c>
      <c r="B134" s="20" t="inlineStr">
        <is>
          <t>EJ-2627-S0133</t>
        </is>
      </c>
      <c r="C134" s="20" t="inlineStr">
        <is>
          <t>Үнэнбаяр Ү.Анужин</t>
        </is>
      </c>
      <c r="D134" s="20" t="inlineStr">
        <is>
          <t>EJ-2627-6A</t>
        </is>
      </c>
      <c r="E134" s="20" t="inlineStr">
        <is>
          <t>6а</t>
        </is>
      </c>
      <c r="F134" s="20" t="n">
        <v>6</v>
      </c>
      <c r="G134" s="20" t="inlineStr">
        <is>
          <t>ej26s0133</t>
        </is>
      </c>
      <c r="H134" s="20" t="inlineStr">
        <is>
          <t>УЛ15233049</t>
        </is>
      </c>
      <c r="I134" s="20" t="inlineStr">
        <is>
          <t>Тийм</t>
        </is>
      </c>
    </row>
    <row r="135">
      <c r="A135" s="19" t="inlineStr">
        <is>
          <t>БОДИТ</t>
        </is>
      </c>
      <c r="B135" s="20" t="inlineStr">
        <is>
          <t>EJ-2627-S0124</t>
        </is>
      </c>
      <c r="C135" s="20" t="inlineStr">
        <is>
          <t>Хүрэлхүү Наранбилиг</t>
        </is>
      </c>
      <c r="D135" s="20" t="inlineStr">
        <is>
          <t>EJ-2627-6A</t>
        </is>
      </c>
      <c r="E135" s="20" t="inlineStr">
        <is>
          <t>6а</t>
        </is>
      </c>
      <c r="F135" s="20" t="n">
        <v>6</v>
      </c>
      <c r="G135" s="20" t="inlineStr">
        <is>
          <t>ej26s0124</t>
        </is>
      </c>
      <c r="H135" s="20" t="inlineStr">
        <is>
          <t>УЖ15241227</t>
        </is>
      </c>
      <c r="I135" s="20" t="inlineStr">
        <is>
          <t>Тийм</t>
        </is>
      </c>
    </row>
    <row r="136">
      <c r="A136" s="19" t="inlineStr">
        <is>
          <t>БОДИТ</t>
        </is>
      </c>
      <c r="B136" s="20" t="inlineStr">
        <is>
          <t>EJ-2627-S0123</t>
        </is>
      </c>
      <c r="C136" s="20" t="inlineStr">
        <is>
          <t>Цогтбаяр Тэнгис</t>
        </is>
      </c>
      <c r="D136" s="20" t="inlineStr">
        <is>
          <t>EJ-2627-6A</t>
        </is>
      </c>
      <c r="E136" s="20" t="inlineStr">
        <is>
          <t>6а</t>
        </is>
      </c>
      <c r="F136" s="20" t="n">
        <v>6</v>
      </c>
      <c r="G136" s="20" t="inlineStr">
        <is>
          <t>ej26s0123</t>
        </is>
      </c>
      <c r="H136" s="20" t="inlineStr">
        <is>
          <t>УП15222139</t>
        </is>
      </c>
      <c r="I136" s="20" t="inlineStr">
        <is>
          <t>Тийм</t>
        </is>
      </c>
    </row>
    <row r="137">
      <c r="A137" s="19" t="inlineStr">
        <is>
          <t>БОДИТ</t>
        </is>
      </c>
      <c r="B137" s="20" t="inlineStr">
        <is>
          <t>EJ-2627-S0114</t>
        </is>
      </c>
      <c r="C137" s="20" t="inlineStr">
        <is>
          <t>Цээсүрэн Мөнхжин</t>
        </is>
      </c>
      <c r="D137" s="20" t="inlineStr">
        <is>
          <t>EJ-2627-6A</t>
        </is>
      </c>
      <c r="E137" s="20" t="inlineStr">
        <is>
          <t>6а</t>
        </is>
      </c>
      <c r="F137" s="20" t="n">
        <v>6</v>
      </c>
      <c r="G137" s="20" t="inlineStr">
        <is>
          <t>ej26s0114</t>
        </is>
      </c>
      <c r="H137" s="20" t="inlineStr">
        <is>
          <t>УО15320528</t>
        </is>
      </c>
      <c r="I137" s="20" t="inlineStr">
        <is>
          <t>Тийм</t>
        </is>
      </c>
    </row>
    <row r="138">
      <c r="A138" s="19" t="inlineStr">
        <is>
          <t>БОДИТ</t>
        </is>
      </c>
      <c r="B138" s="20" t="inlineStr">
        <is>
          <t>EJ-2627-S0121</t>
        </is>
      </c>
      <c r="C138" s="20" t="inlineStr">
        <is>
          <t>Шагдаржав Энхжин</t>
        </is>
      </c>
      <c r="D138" s="20" t="inlineStr">
        <is>
          <t>EJ-2627-6A</t>
        </is>
      </c>
      <c r="E138" s="20" t="inlineStr">
        <is>
          <t>6а</t>
        </is>
      </c>
      <c r="F138" s="20" t="n">
        <v>6</v>
      </c>
      <c r="G138" s="20" t="inlineStr">
        <is>
          <t>ej26s0121</t>
        </is>
      </c>
      <c r="H138" s="20" t="inlineStr">
        <is>
          <t>УК15320161</t>
        </is>
      </c>
      <c r="I138" s="20" t="inlineStr">
        <is>
          <t>Тийм</t>
        </is>
      </c>
    </row>
    <row r="139">
      <c r="A139" s="19" t="inlineStr">
        <is>
          <t>БОДИТ</t>
        </is>
      </c>
      <c r="B139" s="20" t="inlineStr">
        <is>
          <t>EJ-2627-S0122</t>
        </is>
      </c>
      <c r="C139" s="20" t="inlineStr">
        <is>
          <t>Энхдэлгэр Энхтөмөр</t>
        </is>
      </c>
      <c r="D139" s="20" t="inlineStr">
        <is>
          <t>EJ-2627-6A</t>
        </is>
      </c>
      <c r="E139" s="20" t="inlineStr">
        <is>
          <t>6а</t>
        </is>
      </c>
      <c r="F139" s="20" t="n">
        <v>6</v>
      </c>
      <c r="G139" s="20" t="inlineStr">
        <is>
          <t>ej26s0122</t>
        </is>
      </c>
      <c r="H139" s="20" t="inlineStr">
        <is>
          <t>УО15231932</t>
        </is>
      </c>
      <c r="I139" s="20" t="inlineStr">
        <is>
          <t>Тийм</t>
        </is>
      </c>
    </row>
    <row r="140">
      <c r="A140" s="19" t="inlineStr">
        <is>
          <t>БОДИТ</t>
        </is>
      </c>
      <c r="B140" s="20" t="inlineStr">
        <is>
          <t>EJ-2627-S0139</t>
        </is>
      </c>
      <c r="C140" s="20" t="inlineStr">
        <is>
          <t>Анхбаяр Дөлгөөнтамир</t>
        </is>
      </c>
      <c r="D140" s="20" t="inlineStr">
        <is>
          <t>EJ-2627-7A</t>
        </is>
      </c>
      <c r="E140" s="20" t="inlineStr">
        <is>
          <t>7а</t>
        </is>
      </c>
      <c r="F140" s="20" t="n">
        <v>7</v>
      </c>
      <c r="G140" s="20" t="inlineStr">
        <is>
          <t>ej26s0139</t>
        </is>
      </c>
      <c r="H140" s="20" t="inlineStr">
        <is>
          <t>УХ14291471</t>
        </is>
      </c>
      <c r="I140" s="20" t="inlineStr">
        <is>
          <t>Тийм</t>
        </is>
      </c>
    </row>
    <row r="141">
      <c r="A141" s="19" t="inlineStr">
        <is>
          <t>БОДИТ</t>
        </is>
      </c>
      <c r="B141" s="20" t="inlineStr">
        <is>
          <t>EJ-2627-S0144</t>
        </is>
      </c>
      <c r="C141" s="20" t="inlineStr">
        <is>
          <t>Аянга Мөнхтэнгэр</t>
        </is>
      </c>
      <c r="D141" s="20" t="inlineStr">
        <is>
          <t>EJ-2627-7A</t>
        </is>
      </c>
      <c r="E141" s="20" t="inlineStr">
        <is>
          <t>7а</t>
        </is>
      </c>
      <c r="F141" s="20" t="n">
        <v>7</v>
      </c>
      <c r="G141" s="20" t="inlineStr">
        <is>
          <t>ej26s0144</t>
        </is>
      </c>
      <c r="H141" s="20" t="inlineStr">
        <is>
          <t>УХ14222770</t>
        </is>
      </c>
      <c r="I141" s="20" t="inlineStr">
        <is>
          <t>Тийм</t>
        </is>
      </c>
    </row>
    <row r="142">
      <c r="A142" s="19" t="inlineStr">
        <is>
          <t>БОДИТ</t>
        </is>
      </c>
      <c r="B142" s="20" t="inlineStr">
        <is>
          <t>EJ-2627-S0143</t>
        </is>
      </c>
      <c r="C142" s="20" t="inlineStr">
        <is>
          <t>Батбаяр Мөнхбуян</t>
        </is>
      </c>
      <c r="D142" s="20" t="inlineStr">
        <is>
          <t>EJ-2627-7A</t>
        </is>
      </c>
      <c r="E142" s="20" t="inlineStr">
        <is>
          <t>7а</t>
        </is>
      </c>
      <c r="F142" s="20" t="n">
        <v>7</v>
      </c>
      <c r="G142" s="20" t="inlineStr">
        <is>
          <t>ej26s0143</t>
        </is>
      </c>
      <c r="H142" s="20" t="inlineStr">
        <is>
          <t>УО14232912</t>
        </is>
      </c>
      <c r="I142" s="20" t="inlineStr">
        <is>
          <t>Тийм</t>
        </is>
      </c>
    </row>
    <row r="143">
      <c r="A143" s="19" t="inlineStr">
        <is>
          <t>БОДИТ</t>
        </is>
      </c>
      <c r="B143" s="20" t="inlineStr">
        <is>
          <t>EJ-2627-S0135</t>
        </is>
      </c>
      <c r="C143" s="20" t="inlineStr">
        <is>
          <t>Баттөр Азжаргал</t>
        </is>
      </c>
      <c r="D143" s="20" t="inlineStr">
        <is>
          <t>EJ-2627-7A</t>
        </is>
      </c>
      <c r="E143" s="20" t="inlineStr">
        <is>
          <t>7а</t>
        </is>
      </c>
      <c r="F143" s="20" t="n">
        <v>7</v>
      </c>
      <c r="G143" s="20" t="inlineStr">
        <is>
          <t>ej26s0135</t>
        </is>
      </c>
      <c r="H143" s="20" t="inlineStr">
        <is>
          <t>УЛ14240958</t>
        </is>
      </c>
      <c r="I143" s="20" t="inlineStr">
        <is>
          <t>Тийм</t>
        </is>
      </c>
    </row>
    <row r="144">
      <c r="A144" s="19" t="inlineStr">
        <is>
          <t>БОДИТ</t>
        </is>
      </c>
      <c r="B144" s="20" t="inlineStr">
        <is>
          <t>EJ-2627-S0145</t>
        </is>
      </c>
      <c r="C144" s="20" t="inlineStr">
        <is>
          <t>Баттулга Содон-Аялгуу</t>
        </is>
      </c>
      <c r="D144" s="20" t="inlineStr">
        <is>
          <t>EJ-2627-7A</t>
        </is>
      </c>
      <c r="E144" s="20" t="inlineStr">
        <is>
          <t>7а</t>
        </is>
      </c>
      <c r="F144" s="20" t="n">
        <v>7</v>
      </c>
      <c r="G144" s="20" t="inlineStr">
        <is>
          <t>ej26s0145</t>
        </is>
      </c>
      <c r="H144" s="20" t="inlineStr">
        <is>
          <t>УЛ14301645</t>
        </is>
      </c>
      <c r="I144" s="20" t="inlineStr">
        <is>
          <t>Тийм</t>
        </is>
      </c>
    </row>
    <row r="145">
      <c r="A145" s="19" t="inlineStr">
        <is>
          <t>БОДИТ</t>
        </is>
      </c>
      <c r="B145" s="20" t="inlineStr">
        <is>
          <t>EJ-2627-S0147</t>
        </is>
      </c>
      <c r="C145" s="20" t="inlineStr">
        <is>
          <t>Ганбилэг Төгөлдөр</t>
        </is>
      </c>
      <c r="D145" s="20" t="inlineStr">
        <is>
          <t>EJ-2627-7A</t>
        </is>
      </c>
      <c r="E145" s="20" t="inlineStr">
        <is>
          <t>7а</t>
        </is>
      </c>
      <c r="F145" s="20" t="n">
        <v>7</v>
      </c>
      <c r="G145" s="20" t="inlineStr">
        <is>
          <t>ej26s0147</t>
        </is>
      </c>
      <c r="H145" s="20" t="inlineStr">
        <is>
          <t>УО14271378</t>
        </is>
      </c>
      <c r="I145" s="20" t="inlineStr">
        <is>
          <t>Тийм</t>
        </is>
      </c>
    </row>
    <row r="146">
      <c r="A146" s="19" t="inlineStr">
        <is>
          <t>БОДИТ</t>
        </is>
      </c>
      <c r="B146" s="20" t="inlineStr">
        <is>
          <t>EJ-2627-S0149</t>
        </is>
      </c>
      <c r="C146" s="20" t="inlineStr">
        <is>
          <t>Дэлгэрбат Эрсүгэн</t>
        </is>
      </c>
      <c r="D146" s="20" t="inlineStr">
        <is>
          <t>EJ-2627-7A</t>
        </is>
      </c>
      <c r="E146" s="20" t="inlineStr">
        <is>
          <t>7а</t>
        </is>
      </c>
      <c r="F146" s="20" t="n">
        <v>7</v>
      </c>
      <c r="G146" s="20" t="inlineStr">
        <is>
          <t>ej26s0149</t>
        </is>
      </c>
      <c r="H146" s="20" t="inlineStr">
        <is>
          <t>УК14270352</t>
        </is>
      </c>
      <c r="I146" s="20" t="inlineStr">
        <is>
          <t>Тийм</t>
        </is>
      </c>
    </row>
    <row r="147">
      <c r="A147" s="19" t="inlineStr">
        <is>
          <t>БОДИТ</t>
        </is>
      </c>
      <c r="B147" s="20" t="inlineStr">
        <is>
          <t>EJ-2627-S0138</t>
        </is>
      </c>
      <c r="C147" s="20" t="inlineStr">
        <is>
          <t>Дэлгэрсүрэн Билгүүн</t>
        </is>
      </c>
      <c r="D147" s="20" t="inlineStr">
        <is>
          <t>EJ-2627-7A</t>
        </is>
      </c>
      <c r="E147" s="20" t="inlineStr">
        <is>
          <t>7а</t>
        </is>
      </c>
      <c r="F147" s="20" t="n">
        <v>7</v>
      </c>
      <c r="G147" s="20" t="inlineStr">
        <is>
          <t>ej26s0138</t>
        </is>
      </c>
      <c r="H147" s="20" t="inlineStr">
        <is>
          <t>ЩТ14272878</t>
        </is>
      </c>
      <c r="I147" s="20" t="inlineStr">
        <is>
          <t>Тийм</t>
        </is>
      </c>
    </row>
    <row r="148">
      <c r="A148" s="19" t="inlineStr">
        <is>
          <t>БОДИТ</t>
        </is>
      </c>
      <c r="B148" s="20" t="inlineStr">
        <is>
          <t>EJ-2627-S0151</t>
        </is>
      </c>
      <c r="C148" s="20" t="inlineStr">
        <is>
          <t>Мөнгөнгэрэл Билгүүн-Од</t>
        </is>
      </c>
      <c r="D148" s="20" t="inlineStr">
        <is>
          <t>EJ-2627-7A</t>
        </is>
      </c>
      <c r="E148" s="20" t="inlineStr">
        <is>
          <t>7а</t>
        </is>
      </c>
      <c r="F148" s="20" t="n">
        <v>7</v>
      </c>
      <c r="G148" s="20" t="inlineStr">
        <is>
          <t>ej26s0151</t>
        </is>
      </c>
      <c r="H148" s="20" t="inlineStr">
        <is>
          <t>УЦ14290454</t>
        </is>
      </c>
      <c r="I148" s="20" t="inlineStr">
        <is>
          <t>Тийм</t>
        </is>
      </c>
    </row>
    <row r="149">
      <c r="A149" s="19" t="inlineStr">
        <is>
          <t>БОДИТ</t>
        </is>
      </c>
      <c r="B149" s="20" t="inlineStr">
        <is>
          <t>EJ-2627-S0136</t>
        </is>
      </c>
      <c r="C149" s="20" t="inlineStr">
        <is>
          <t>Мөнхбаатар Амин-Учрал</t>
        </is>
      </c>
      <c r="D149" s="20" t="inlineStr">
        <is>
          <t>EJ-2627-7A</t>
        </is>
      </c>
      <c r="E149" s="20" t="inlineStr">
        <is>
          <t>7а</t>
        </is>
      </c>
      <c r="F149" s="20" t="n">
        <v>7</v>
      </c>
      <c r="G149" s="20" t="inlineStr">
        <is>
          <t>ej26s0136</t>
        </is>
      </c>
      <c r="H149" s="20" t="inlineStr">
        <is>
          <t>ЕЮ14320837</t>
        </is>
      </c>
      <c r="I149" s="20" t="inlineStr">
        <is>
          <t>Тийм</t>
        </is>
      </c>
    </row>
    <row r="150">
      <c r="A150" s="19" t="inlineStr">
        <is>
          <t>БОДИТ</t>
        </is>
      </c>
      <c r="B150" s="20" t="inlineStr">
        <is>
          <t>EJ-2627-S0141</t>
        </is>
      </c>
      <c r="C150" s="20" t="inlineStr">
        <is>
          <t>Мөнхням Золзаяа</t>
        </is>
      </c>
      <c r="D150" s="20" t="inlineStr">
        <is>
          <t>EJ-2627-7A</t>
        </is>
      </c>
      <c r="E150" s="20" t="inlineStr">
        <is>
          <t>7а</t>
        </is>
      </c>
      <c r="F150" s="20" t="n">
        <v>7</v>
      </c>
      <c r="G150" s="20" t="inlineStr">
        <is>
          <t>ej26s0141</t>
        </is>
      </c>
      <c r="H150" s="20" t="inlineStr">
        <is>
          <t>УВ14280844</t>
        </is>
      </c>
      <c r="I150" s="20" t="inlineStr">
        <is>
          <t>Тийм</t>
        </is>
      </c>
    </row>
    <row r="151">
      <c r="A151" s="19" t="inlineStr">
        <is>
          <t>БОДИТ</t>
        </is>
      </c>
      <c r="B151" s="20" t="inlineStr">
        <is>
          <t>EJ-2627-S0146</t>
        </is>
      </c>
      <c r="C151" s="20" t="inlineStr">
        <is>
          <t>Мөнхтамир Төгсцогт</t>
        </is>
      </c>
      <c r="D151" s="20" t="inlineStr">
        <is>
          <t>EJ-2627-7A</t>
        </is>
      </c>
      <c r="E151" s="20" t="inlineStr">
        <is>
          <t>7а</t>
        </is>
      </c>
      <c r="F151" s="20" t="n">
        <v>7</v>
      </c>
      <c r="G151" s="20" t="inlineStr">
        <is>
          <t>ej26s0146</t>
        </is>
      </c>
      <c r="H151" s="20" t="inlineStr">
        <is>
          <t>УВ14321611</t>
        </is>
      </c>
      <c r="I151" s="20" t="inlineStr">
        <is>
          <t>Тийм</t>
        </is>
      </c>
    </row>
    <row r="152">
      <c r="A152" s="19" t="inlineStr">
        <is>
          <t>БОДИТ</t>
        </is>
      </c>
      <c r="B152" s="20" t="inlineStr">
        <is>
          <t>EJ-2627-S0142</t>
        </is>
      </c>
      <c r="C152" s="20" t="inlineStr">
        <is>
          <t>Наранхүү Манлай</t>
        </is>
      </c>
      <c r="D152" s="20" t="inlineStr">
        <is>
          <t>EJ-2627-7A</t>
        </is>
      </c>
      <c r="E152" s="20" t="inlineStr">
        <is>
          <t>7а</t>
        </is>
      </c>
      <c r="F152" s="20" t="n">
        <v>7</v>
      </c>
      <c r="G152" s="20" t="inlineStr">
        <is>
          <t>ej26s0142</t>
        </is>
      </c>
      <c r="H152" s="20" t="inlineStr">
        <is>
          <t>УК14281974</t>
        </is>
      </c>
      <c r="I152" s="20" t="inlineStr">
        <is>
          <t>Тийм</t>
        </is>
      </c>
    </row>
    <row r="153">
      <c r="A153" s="19" t="inlineStr">
        <is>
          <t>БОДИТ</t>
        </is>
      </c>
      <c r="B153" s="20" t="inlineStr">
        <is>
          <t>EJ-2627-S0140</t>
        </is>
      </c>
      <c r="C153" s="20" t="inlineStr">
        <is>
          <t>Цэдэнсодном Есүй</t>
        </is>
      </c>
      <c r="D153" s="20" t="inlineStr">
        <is>
          <t>EJ-2627-7A</t>
        </is>
      </c>
      <c r="E153" s="20" t="inlineStr">
        <is>
          <t>7а</t>
        </is>
      </c>
      <c r="F153" s="20" t="n">
        <v>7</v>
      </c>
      <c r="G153" s="20" t="inlineStr">
        <is>
          <t>ej26s0140</t>
        </is>
      </c>
      <c r="H153" s="20" t="inlineStr">
        <is>
          <t>УА14262063</t>
        </is>
      </c>
      <c r="I153" s="20" t="inlineStr">
        <is>
          <t>Тийм</t>
        </is>
      </c>
    </row>
    <row r="154">
      <c r="A154" s="19" t="inlineStr">
        <is>
          <t>БОДИТ</t>
        </is>
      </c>
      <c r="B154" s="20" t="inlineStr">
        <is>
          <t>EJ-2627-S0148</t>
        </is>
      </c>
      <c r="C154" s="20" t="inlineStr">
        <is>
          <t>Цээсүрэн Хүслэн</t>
        </is>
      </c>
      <c r="D154" s="20" t="inlineStr">
        <is>
          <t>EJ-2627-7A</t>
        </is>
      </c>
      <c r="E154" s="20" t="inlineStr">
        <is>
          <t>7а</t>
        </is>
      </c>
      <c r="F154" s="20" t="n">
        <v>7</v>
      </c>
      <c r="G154" s="20" t="inlineStr">
        <is>
          <t>ej26s0148</t>
        </is>
      </c>
      <c r="H154" s="20" t="inlineStr">
        <is>
          <t>УЦ14261731</t>
        </is>
      </c>
      <c r="I154" s="20" t="inlineStr">
        <is>
          <t>Тийм</t>
        </is>
      </c>
    </row>
    <row r="155">
      <c r="A155" s="19" t="inlineStr">
        <is>
          <t>БОДИТ</t>
        </is>
      </c>
      <c r="B155" s="20" t="inlineStr">
        <is>
          <t>EJ-2627-S0150</t>
        </is>
      </c>
      <c r="C155" s="20" t="inlineStr">
        <is>
          <t>Чимэдрагзэн Мишээл</t>
        </is>
      </c>
      <c r="D155" s="20" t="inlineStr">
        <is>
          <t>EJ-2627-7A</t>
        </is>
      </c>
      <c r="E155" s="20" t="inlineStr">
        <is>
          <t>7а</t>
        </is>
      </c>
      <c r="F155" s="20" t="n">
        <v>7</v>
      </c>
      <c r="G155" s="20" t="inlineStr">
        <is>
          <t>ej26s0150</t>
        </is>
      </c>
      <c r="H155" s="20" t="inlineStr">
        <is>
          <t>УХ14221088</t>
        </is>
      </c>
      <c r="I155" s="20" t="inlineStr">
        <is>
          <t>Тийм</t>
        </is>
      </c>
    </row>
    <row r="156">
      <c r="A156" s="19" t="inlineStr">
        <is>
          <t>БОДИТ</t>
        </is>
      </c>
      <c r="B156" s="20" t="inlineStr">
        <is>
          <t>EJ-2627-S0137</t>
        </is>
      </c>
      <c r="C156" s="20" t="inlineStr">
        <is>
          <t>Энхбат Ариунжаргал</t>
        </is>
      </c>
      <c r="D156" s="20" t="inlineStr">
        <is>
          <t>EJ-2627-7A</t>
        </is>
      </c>
      <c r="E156" s="20" t="inlineStr">
        <is>
          <t>7а</t>
        </is>
      </c>
      <c r="F156" s="20" t="n">
        <v>7</v>
      </c>
      <c r="G156" s="20" t="inlineStr">
        <is>
          <t>ej26s0137</t>
        </is>
      </c>
      <c r="H156" s="20" t="inlineStr">
        <is>
          <t>УА14322447</t>
        </is>
      </c>
      <c r="I156" s="20" t="inlineStr">
        <is>
          <t>Тийм</t>
        </is>
      </c>
    </row>
    <row r="157">
      <c r="A157" s="19" t="inlineStr">
        <is>
          <t>БОДИТ</t>
        </is>
      </c>
      <c r="B157" s="20" t="inlineStr">
        <is>
          <t>EJ-2627-S0155</t>
        </is>
      </c>
      <c r="C157" s="20" t="inlineStr">
        <is>
          <t>Батбаяр Билэгт</t>
        </is>
      </c>
      <c r="D157" s="20" t="inlineStr">
        <is>
          <t>EJ-2627-7B</t>
        </is>
      </c>
      <c r="E157" s="20" t="inlineStr">
        <is>
          <t>7б</t>
        </is>
      </c>
      <c r="F157" s="20" t="n">
        <v>7</v>
      </c>
      <c r="G157" s="20" t="inlineStr">
        <is>
          <t>ej26s0155</t>
        </is>
      </c>
      <c r="H157" s="20" t="inlineStr">
        <is>
          <t>ОЮ14272650</t>
        </is>
      </c>
      <c r="I157" s="20" t="inlineStr">
        <is>
          <t>Тийм</t>
        </is>
      </c>
    </row>
    <row r="158">
      <c r="A158" s="19" t="inlineStr">
        <is>
          <t>БОДИТ</t>
        </is>
      </c>
      <c r="B158" s="20" t="inlineStr">
        <is>
          <t>EJ-2627-S0152</t>
        </is>
      </c>
      <c r="C158" s="20" t="inlineStr">
        <is>
          <t>Баясгалан Анар</t>
        </is>
      </c>
      <c r="D158" s="20" t="inlineStr">
        <is>
          <t>EJ-2627-7B</t>
        </is>
      </c>
      <c r="E158" s="20" t="inlineStr">
        <is>
          <t>7б</t>
        </is>
      </c>
      <c r="F158" s="20" t="n">
        <v>7</v>
      </c>
      <c r="G158" s="20" t="inlineStr">
        <is>
          <t>ej26s0152</t>
        </is>
      </c>
      <c r="H158" s="20" t="inlineStr">
        <is>
          <t>УХ14291037</t>
        </is>
      </c>
      <c r="I158" s="20" t="inlineStr">
        <is>
          <t>Тийм</t>
        </is>
      </c>
    </row>
    <row r="159">
      <c r="A159" s="19" t="inlineStr">
        <is>
          <t>БОДИТ</t>
        </is>
      </c>
      <c r="B159" s="20" t="inlineStr">
        <is>
          <t>EJ-2627-S0164</t>
        </is>
      </c>
      <c r="C159" s="20" t="inlineStr">
        <is>
          <t>Ганбаатар Цэлмэг</t>
        </is>
      </c>
      <c r="D159" s="20" t="inlineStr">
        <is>
          <t>EJ-2627-7B</t>
        </is>
      </c>
      <c r="E159" s="20" t="inlineStr">
        <is>
          <t>7б</t>
        </is>
      </c>
      <c r="F159" s="20" t="n">
        <v>7</v>
      </c>
      <c r="G159" s="20" t="inlineStr">
        <is>
          <t>ej26s0164</t>
        </is>
      </c>
      <c r="H159" s="20" t="inlineStr">
        <is>
          <t>УЦ14300546</t>
        </is>
      </c>
      <c r="I159" s="20" t="inlineStr">
        <is>
          <t>Тийм</t>
        </is>
      </c>
    </row>
    <row r="160">
      <c r="A160" s="19" t="inlineStr">
        <is>
          <t>БОДИТ</t>
        </is>
      </c>
      <c r="B160" s="20" t="inlineStr">
        <is>
          <t>EJ-2627-S0154</t>
        </is>
      </c>
      <c r="C160" s="20" t="inlineStr">
        <is>
          <t>Гантулга Аялгуу</t>
        </is>
      </c>
      <c r="D160" s="20" t="inlineStr">
        <is>
          <t>EJ-2627-7B</t>
        </is>
      </c>
      <c r="E160" s="20" t="inlineStr">
        <is>
          <t>7б</t>
        </is>
      </c>
      <c r="F160" s="20" t="n">
        <v>7</v>
      </c>
      <c r="G160" s="20" t="inlineStr">
        <is>
          <t>ej26s0154</t>
        </is>
      </c>
      <c r="H160" s="20" t="inlineStr">
        <is>
          <t>УЗ14262542</t>
        </is>
      </c>
      <c r="I160" s="20" t="inlineStr">
        <is>
          <t>Тийм</t>
        </is>
      </c>
    </row>
    <row r="161">
      <c r="A161" s="19" t="inlineStr">
        <is>
          <t>БОДИТ</t>
        </is>
      </c>
      <c r="B161" s="20" t="inlineStr">
        <is>
          <t>EJ-2627-S0159</t>
        </is>
      </c>
      <c r="C161" s="20" t="inlineStr">
        <is>
          <t>Итгэл Оч</t>
        </is>
      </c>
      <c r="D161" s="20" t="inlineStr">
        <is>
          <t>EJ-2627-7B</t>
        </is>
      </c>
      <c r="E161" s="20" t="inlineStr">
        <is>
          <t>7б</t>
        </is>
      </c>
      <c r="F161" s="20" t="n">
        <v>7</v>
      </c>
      <c r="G161" s="20" t="inlineStr">
        <is>
          <t>ej26s0159</t>
        </is>
      </c>
      <c r="H161" s="20" t="inlineStr">
        <is>
          <t>ЩЙ13220118</t>
        </is>
      </c>
      <c r="I161" s="20" t="inlineStr">
        <is>
          <t>Тийм</t>
        </is>
      </c>
    </row>
    <row r="162">
      <c r="A162" s="19" t="inlineStr">
        <is>
          <t>БОДИТ</t>
        </is>
      </c>
      <c r="B162" s="20" t="inlineStr">
        <is>
          <t>EJ-2627-S0160</t>
        </is>
      </c>
      <c r="C162" s="20" t="inlineStr">
        <is>
          <t>Молор-Эрдэнэ Сийлэн</t>
        </is>
      </c>
      <c r="D162" s="20" t="inlineStr">
        <is>
          <t>EJ-2627-7B</t>
        </is>
      </c>
      <c r="E162" s="20" t="inlineStr">
        <is>
          <t>7б</t>
        </is>
      </c>
      <c r="F162" s="20" t="n">
        <v>7</v>
      </c>
      <c r="G162" s="20" t="inlineStr">
        <is>
          <t>ej26s0160</t>
        </is>
      </c>
      <c r="H162" s="20" t="inlineStr">
        <is>
          <t>УВ14270909</t>
        </is>
      </c>
      <c r="I162" s="20" t="inlineStr">
        <is>
          <t>Тийм</t>
        </is>
      </c>
    </row>
    <row r="163">
      <c r="A163" s="19" t="inlineStr">
        <is>
          <t>БОДИТ</t>
        </is>
      </c>
      <c r="B163" s="20" t="inlineStr">
        <is>
          <t>EJ-2627-S0162</t>
        </is>
      </c>
      <c r="C163" s="20" t="inlineStr">
        <is>
          <t>Мөнх-Очир Хан-Очир</t>
        </is>
      </c>
      <c r="D163" s="20" t="inlineStr">
        <is>
          <t>EJ-2627-7B</t>
        </is>
      </c>
      <c r="E163" s="20" t="inlineStr">
        <is>
          <t>7б</t>
        </is>
      </c>
      <c r="F163" s="20" t="n">
        <v>7</v>
      </c>
      <c r="G163" s="20" t="inlineStr">
        <is>
          <t>ej26s0162</t>
        </is>
      </c>
      <c r="H163" s="20" t="inlineStr">
        <is>
          <t>УБ14252791</t>
        </is>
      </c>
      <c r="I163" s="20" t="inlineStr">
        <is>
          <t>Тийм</t>
        </is>
      </c>
    </row>
    <row r="164">
      <c r="A164" s="19" t="inlineStr">
        <is>
          <t>БОДИТ</t>
        </is>
      </c>
      <c r="B164" s="20" t="inlineStr">
        <is>
          <t>EJ-2627-S0157</t>
        </is>
      </c>
      <c r="C164" s="20" t="inlineStr">
        <is>
          <t>Наранбаяр Намуун</t>
        </is>
      </c>
      <c r="D164" s="20" t="inlineStr">
        <is>
          <t>EJ-2627-7B</t>
        </is>
      </c>
      <c r="E164" s="20" t="inlineStr">
        <is>
          <t>7б</t>
        </is>
      </c>
      <c r="F164" s="20" t="n">
        <v>7</v>
      </c>
      <c r="G164" s="20" t="inlineStr">
        <is>
          <t>ej26s0157</t>
        </is>
      </c>
      <c r="H164" s="20" t="inlineStr">
        <is>
          <t>СР14262100</t>
        </is>
      </c>
      <c r="I164" s="20" t="inlineStr">
        <is>
          <t>Тийм</t>
        </is>
      </c>
    </row>
    <row r="165">
      <c r="A165" s="19" t="inlineStr">
        <is>
          <t>БОДИТ</t>
        </is>
      </c>
      <c r="B165" s="20" t="inlineStr">
        <is>
          <t>EJ-2627-S0161</t>
        </is>
      </c>
      <c r="C165" s="20" t="inlineStr">
        <is>
          <t>Отгонзаяа Түвшинтөр</t>
        </is>
      </c>
      <c r="D165" s="20" t="inlineStr">
        <is>
          <t>EJ-2627-7B</t>
        </is>
      </c>
      <c r="E165" s="20" t="inlineStr">
        <is>
          <t>7б</t>
        </is>
      </c>
      <c r="F165" s="20" t="n">
        <v>7</v>
      </c>
      <c r="G165" s="20" t="inlineStr">
        <is>
          <t>ej26s0161</t>
        </is>
      </c>
      <c r="H165" s="20" t="inlineStr">
        <is>
          <t>ЙЮ14271618</t>
        </is>
      </c>
      <c r="I165" s="20" t="inlineStr">
        <is>
          <t>Тийм</t>
        </is>
      </c>
    </row>
    <row r="166">
      <c r="A166" s="19" t="inlineStr">
        <is>
          <t>БОДИТ</t>
        </is>
      </c>
      <c r="B166" s="20" t="inlineStr">
        <is>
          <t>EJ-2627-S0153</t>
        </is>
      </c>
      <c r="C166" s="20" t="inlineStr">
        <is>
          <t>Оюунбат Анир</t>
        </is>
      </c>
      <c r="D166" s="20" t="inlineStr">
        <is>
          <t>EJ-2627-7B</t>
        </is>
      </c>
      <c r="E166" s="20" t="inlineStr">
        <is>
          <t>7б</t>
        </is>
      </c>
      <c r="F166" s="20" t="n">
        <v>7</v>
      </c>
      <c r="G166" s="20" t="inlineStr">
        <is>
          <t>ej26s0153</t>
        </is>
      </c>
      <c r="H166" s="20" t="inlineStr">
        <is>
          <t>УЦ14270683</t>
        </is>
      </c>
      <c r="I166" s="20" t="inlineStr">
        <is>
          <t>Тийм</t>
        </is>
      </c>
    </row>
    <row r="167">
      <c r="A167" s="19" t="inlineStr">
        <is>
          <t>БОДИТ</t>
        </is>
      </c>
      <c r="B167" s="20" t="inlineStr">
        <is>
          <t>EJ-2627-S0158</t>
        </is>
      </c>
      <c r="C167" s="20" t="inlineStr">
        <is>
          <t>Пүрэвдорж Оюу</t>
        </is>
      </c>
      <c r="D167" s="20" t="inlineStr">
        <is>
          <t>EJ-2627-7B</t>
        </is>
      </c>
      <c r="E167" s="20" t="inlineStr">
        <is>
          <t>7б</t>
        </is>
      </c>
      <c r="F167" s="20" t="n">
        <v>7</v>
      </c>
      <c r="G167" s="20" t="inlineStr">
        <is>
          <t>ej26s0158</t>
        </is>
      </c>
      <c r="H167" s="20" t="inlineStr">
        <is>
          <t>УТ14242304</t>
        </is>
      </c>
      <c r="I167" s="20" t="inlineStr">
        <is>
          <t>Тийм</t>
        </is>
      </c>
    </row>
    <row r="168">
      <c r="A168" s="19" t="inlineStr">
        <is>
          <t>БОДИТ</t>
        </is>
      </c>
      <c r="B168" s="20" t="inlineStr">
        <is>
          <t>EJ-2627-S0156</t>
        </is>
      </c>
      <c r="C168" s="20" t="inlineStr">
        <is>
          <t>Төрмөнх Буян-Эрдэнэ</t>
        </is>
      </c>
      <c r="D168" s="20" t="inlineStr">
        <is>
          <t>EJ-2627-7B</t>
        </is>
      </c>
      <c r="E168" s="20" t="inlineStr">
        <is>
          <t>7б</t>
        </is>
      </c>
      <c r="F168" s="20" t="n">
        <v>7</v>
      </c>
      <c r="G168" s="20" t="inlineStr">
        <is>
          <t>ej26s0156</t>
        </is>
      </c>
      <c r="H168" s="20" t="inlineStr">
        <is>
          <t>УК14292421</t>
        </is>
      </c>
      <c r="I168" s="20" t="inlineStr">
        <is>
          <t>Тийм</t>
        </is>
      </c>
    </row>
    <row r="169">
      <c r="A169" s="19" t="inlineStr">
        <is>
          <t>БОДИТ</t>
        </is>
      </c>
      <c r="B169" s="20" t="inlineStr">
        <is>
          <t>EJ-2627-S0163</t>
        </is>
      </c>
      <c r="C169" s="20" t="inlineStr">
        <is>
          <t>Цэрэнхүү Хос-Уянга</t>
        </is>
      </c>
      <c r="D169" s="20" t="inlineStr">
        <is>
          <t>EJ-2627-7B</t>
        </is>
      </c>
      <c r="E169" s="20" t="inlineStr">
        <is>
          <t>7б</t>
        </is>
      </c>
      <c r="F169" s="20" t="n">
        <v>7</v>
      </c>
      <c r="G169" s="20" t="inlineStr">
        <is>
          <t>ej26s0163</t>
        </is>
      </c>
      <c r="H169" s="20" t="inlineStr">
        <is>
          <t>УЗ13300686</t>
        </is>
      </c>
      <c r="I169" s="20" t="inlineStr">
        <is>
          <t>Тийм</t>
        </is>
      </c>
    </row>
    <row r="170">
      <c r="A170" s="19" t="inlineStr">
        <is>
          <t>БОДИТ</t>
        </is>
      </c>
      <c r="B170" s="20" t="inlineStr">
        <is>
          <t>EJ-2627-S0166</t>
        </is>
      </c>
      <c r="C170" s="20" t="inlineStr">
        <is>
          <t>Цэрэнчунт Цэрэндагва</t>
        </is>
      </c>
      <c r="D170" s="20" t="inlineStr">
        <is>
          <t>EJ-2627-7B</t>
        </is>
      </c>
      <c r="E170" s="20" t="inlineStr">
        <is>
          <t>7б</t>
        </is>
      </c>
      <c r="F170" s="20" t="n">
        <v>7</v>
      </c>
      <c r="G170" s="20" t="inlineStr">
        <is>
          <t>ej26s0166</t>
        </is>
      </c>
      <c r="H170" s="20" t="inlineStr">
        <is>
          <t>УН14232532</t>
        </is>
      </c>
      <c r="I170" s="20" t="inlineStr">
        <is>
          <t>Тийм</t>
        </is>
      </c>
    </row>
    <row r="171">
      <c r="A171" s="19" t="inlineStr">
        <is>
          <t>БОДИТ</t>
        </is>
      </c>
      <c r="B171" s="20" t="inlineStr">
        <is>
          <t>EJ-2627-S0165</t>
        </is>
      </c>
      <c r="C171" s="20" t="inlineStr">
        <is>
          <t>Энхбаатар Цэлмүүн</t>
        </is>
      </c>
      <c r="D171" s="20" t="inlineStr">
        <is>
          <t>EJ-2627-7B</t>
        </is>
      </c>
      <c r="E171" s="20" t="inlineStr">
        <is>
          <t>7б</t>
        </is>
      </c>
      <c r="F171" s="20" t="n">
        <v>7</v>
      </c>
      <c r="G171" s="20" t="inlineStr">
        <is>
          <t>ej26s0165</t>
        </is>
      </c>
      <c r="H171" s="20" t="inlineStr">
        <is>
          <t>УО14261329</t>
        </is>
      </c>
      <c r="I171" s="20" t="inlineStr">
        <is>
          <t>Тийм</t>
        </is>
      </c>
    </row>
    <row r="172">
      <c r="A172" s="19" t="inlineStr">
        <is>
          <t>БОДИТ</t>
        </is>
      </c>
      <c r="B172" s="20" t="inlineStr">
        <is>
          <t>EJ-2627-S0168</t>
        </is>
      </c>
      <c r="C172" s="20" t="inlineStr">
        <is>
          <t>Алтаншагай Ананд</t>
        </is>
      </c>
      <c r="D172" s="20" t="inlineStr">
        <is>
          <t>EJ-2627-8A</t>
        </is>
      </c>
      <c r="E172" s="20" t="inlineStr">
        <is>
          <t>8а</t>
        </is>
      </c>
      <c r="F172" s="20" t="n">
        <v>8</v>
      </c>
      <c r="G172" s="20" t="inlineStr">
        <is>
          <t>ej26s0167</t>
        </is>
      </c>
      <c r="H172" s="20" t="inlineStr">
        <is>
          <t>УЦ13252530</t>
        </is>
      </c>
      <c r="I172" s="20" t="inlineStr">
        <is>
          <t>Тийм</t>
        </is>
      </c>
    </row>
    <row r="173">
      <c r="A173" s="19" t="inlineStr">
        <is>
          <t>БОДИТ</t>
        </is>
      </c>
      <c r="B173" s="20" t="inlineStr">
        <is>
          <t>EJ-2627-S0183</t>
        </is>
      </c>
      <c r="C173" s="20" t="inlineStr">
        <is>
          <t>Баатархүү Цэцэн-Очир</t>
        </is>
      </c>
      <c r="D173" s="20" t="inlineStr">
        <is>
          <t>EJ-2627-8A</t>
        </is>
      </c>
      <c r="E173" s="20" t="inlineStr">
        <is>
          <t>8а</t>
        </is>
      </c>
      <c r="F173" s="20" t="n">
        <v>8</v>
      </c>
      <c r="G173" s="20" t="inlineStr">
        <is>
          <t>ej26s0182</t>
        </is>
      </c>
      <c r="H173" s="20" t="inlineStr">
        <is>
          <t>УЦ13281677</t>
        </is>
      </c>
      <c r="I173" s="20" t="inlineStr">
        <is>
          <t>Тийм</t>
        </is>
      </c>
    </row>
    <row r="174">
      <c r="A174" s="19" t="inlineStr">
        <is>
          <t>БОДИТ</t>
        </is>
      </c>
      <c r="B174" s="20" t="inlineStr">
        <is>
          <t>EJ-2627-S0179</t>
        </is>
      </c>
      <c r="C174" s="20" t="inlineStr">
        <is>
          <t>Батсайхан Ану-Үжин</t>
        </is>
      </c>
      <c r="D174" s="20" t="inlineStr">
        <is>
          <t>EJ-2627-8A</t>
        </is>
      </c>
      <c r="E174" s="20" t="inlineStr">
        <is>
          <t>8а</t>
        </is>
      </c>
      <c r="F174" s="20" t="n">
        <v>8</v>
      </c>
      <c r="G174" s="20" t="inlineStr">
        <is>
          <t>ej26s0178</t>
        </is>
      </c>
      <c r="H174" s="20" t="inlineStr">
        <is>
          <t>УШ13312204</t>
        </is>
      </c>
      <c r="I174" s="20" t="inlineStr">
        <is>
          <t>Тийм</t>
        </is>
      </c>
    </row>
    <row r="175">
      <c r="A175" s="19" t="inlineStr">
        <is>
          <t>БОДИТ</t>
        </is>
      </c>
      <c r="B175" s="20" t="inlineStr">
        <is>
          <t>EJ-2627-S0171</t>
        </is>
      </c>
      <c r="C175" s="20" t="inlineStr">
        <is>
          <t>Баярбаатар Номула</t>
        </is>
      </c>
      <c r="D175" s="20" t="inlineStr">
        <is>
          <t>EJ-2627-8A</t>
        </is>
      </c>
      <c r="E175" s="20" t="inlineStr">
        <is>
          <t>8а</t>
        </is>
      </c>
      <c r="F175" s="20" t="n">
        <v>8</v>
      </c>
      <c r="G175" s="20" t="inlineStr">
        <is>
          <t>ej26s0170</t>
        </is>
      </c>
      <c r="H175" s="20" t="inlineStr">
        <is>
          <t>ЩК13321101</t>
        </is>
      </c>
      <c r="I175" s="20" t="inlineStr">
        <is>
          <t>Тийм</t>
        </is>
      </c>
    </row>
    <row r="176">
      <c r="A176" s="19" t="inlineStr">
        <is>
          <t>БОДИТ</t>
        </is>
      </c>
      <c r="B176" s="20" t="inlineStr">
        <is>
          <t>EJ-2627-S0174</t>
        </is>
      </c>
      <c r="C176" s="20" t="inlineStr">
        <is>
          <t>Баярсайхан Төгөлдөр</t>
        </is>
      </c>
      <c r="D176" s="20" t="inlineStr">
        <is>
          <t>EJ-2627-8A</t>
        </is>
      </c>
      <c r="E176" s="20" t="inlineStr">
        <is>
          <t>8а</t>
        </is>
      </c>
      <c r="F176" s="20" t="n">
        <v>8</v>
      </c>
      <c r="G176" s="20" t="inlineStr">
        <is>
          <t>ej26s0173</t>
        </is>
      </c>
      <c r="H176" s="20" t="inlineStr">
        <is>
          <t>УА13231136</t>
        </is>
      </c>
      <c r="I176" s="20" t="inlineStr">
        <is>
          <t>Тийм</t>
        </is>
      </c>
    </row>
    <row r="177">
      <c r="A177" s="19" t="inlineStr">
        <is>
          <t>БОДИТ</t>
        </is>
      </c>
      <c r="B177" s="20" t="inlineStr">
        <is>
          <t>EJ-2627-S0172</t>
        </is>
      </c>
      <c r="C177" s="20" t="inlineStr">
        <is>
          <t>Бямбадорж Пүрэв-Очир</t>
        </is>
      </c>
      <c r="D177" s="20" t="inlineStr">
        <is>
          <t>EJ-2627-8A</t>
        </is>
      </c>
      <c r="E177" s="20" t="inlineStr">
        <is>
          <t>8а</t>
        </is>
      </c>
      <c r="F177" s="20" t="n">
        <v>8</v>
      </c>
      <c r="G177" s="20" t="inlineStr">
        <is>
          <t>ej26s0171</t>
        </is>
      </c>
      <c r="H177" s="20" t="inlineStr">
        <is>
          <t>УП13292693</t>
        </is>
      </c>
      <c r="I177" s="20" t="inlineStr">
        <is>
          <t>Тийм</t>
        </is>
      </c>
    </row>
    <row r="178">
      <c r="A178" s="19" t="inlineStr">
        <is>
          <t>БОДИТ</t>
        </is>
      </c>
      <c r="B178" s="20" t="inlineStr">
        <is>
          <t>EJ-2627-S0180</t>
        </is>
      </c>
      <c r="C178" s="20" t="inlineStr">
        <is>
          <t>Галбадрах Гэрэлтнаран</t>
        </is>
      </c>
      <c r="D178" s="20" t="inlineStr">
        <is>
          <t>EJ-2627-8A</t>
        </is>
      </c>
      <c r="E178" s="20" t="inlineStr">
        <is>
          <t>8а</t>
        </is>
      </c>
      <c r="F178" s="20" t="n">
        <v>8</v>
      </c>
      <c r="G178" s="20" t="inlineStr">
        <is>
          <t>ej26s0179</t>
        </is>
      </c>
      <c r="H178" s="20" t="inlineStr">
        <is>
          <t>УО13311962</t>
        </is>
      </c>
      <c r="I178" s="20" t="inlineStr">
        <is>
          <t>Тийм</t>
        </is>
      </c>
    </row>
    <row r="179">
      <c r="A179" s="19" t="inlineStr">
        <is>
          <t>БОДИТ</t>
        </is>
      </c>
      <c r="B179" s="20" t="inlineStr">
        <is>
          <t>EJ-2627-S0176</t>
        </is>
      </c>
      <c r="C179" s="20" t="inlineStr">
        <is>
          <t>Гантулга Шинэбилэг</t>
        </is>
      </c>
      <c r="D179" s="20" t="inlineStr">
        <is>
          <t>EJ-2627-8A</t>
        </is>
      </c>
      <c r="E179" s="20" t="inlineStr">
        <is>
          <t>8а</t>
        </is>
      </c>
      <c r="F179" s="20" t="n">
        <v>8</v>
      </c>
      <c r="G179" s="20" t="inlineStr">
        <is>
          <t>ej26s0175</t>
        </is>
      </c>
      <c r="H179" s="20" t="inlineStr">
        <is>
          <t>УЖ13322739</t>
        </is>
      </c>
      <c r="I179" s="20" t="inlineStr">
        <is>
          <t>Тийм</t>
        </is>
      </c>
    </row>
    <row r="180">
      <c r="A180" s="19" t="inlineStr">
        <is>
          <t>БОДИТ</t>
        </is>
      </c>
      <c r="B180" s="20" t="inlineStr">
        <is>
          <t>EJ-2627-S0185</t>
        </is>
      </c>
      <c r="C180" s="20" t="inlineStr">
        <is>
          <t>Дашзэвэг Урангоо</t>
        </is>
      </c>
      <c r="D180" s="20" t="inlineStr">
        <is>
          <t>EJ-2627-8A</t>
        </is>
      </c>
      <c r="E180" s="20" t="inlineStr">
        <is>
          <t>8а</t>
        </is>
      </c>
      <c r="F180" s="20" t="n">
        <v>8</v>
      </c>
      <c r="G180" s="20" t="inlineStr">
        <is>
          <t>ej26s0184</t>
        </is>
      </c>
      <c r="H180" s="20" t="inlineStr">
        <is>
          <t>УЖ13250186</t>
        </is>
      </c>
      <c r="I180" s="20" t="inlineStr">
        <is>
          <t>Тийм</t>
        </is>
      </c>
    </row>
    <row r="181">
      <c r="A181" s="19" t="inlineStr">
        <is>
          <t>БОДИТ</t>
        </is>
      </c>
      <c r="B181" s="20" t="inlineStr">
        <is>
          <t>EJ-2627-S0170</t>
        </is>
      </c>
      <c r="C181" s="20" t="inlineStr">
        <is>
          <t>Жаргалтөгс Ивээлт-Од</t>
        </is>
      </c>
      <c r="D181" s="20" t="inlineStr">
        <is>
          <t>EJ-2627-8A</t>
        </is>
      </c>
      <c r="E181" s="20" t="inlineStr">
        <is>
          <t>8а</t>
        </is>
      </c>
      <c r="F181" s="20" t="n">
        <v>8</v>
      </c>
      <c r="G181" s="20" t="inlineStr">
        <is>
          <t>ej26s0169</t>
        </is>
      </c>
      <c r="H181" s="20" t="inlineStr">
        <is>
          <t>УА13312632</t>
        </is>
      </c>
      <c r="I181" s="20" t="inlineStr">
        <is>
          <t>Тийм</t>
        </is>
      </c>
    </row>
    <row r="182">
      <c r="A182" s="19" t="inlineStr">
        <is>
          <t>БОДИТ</t>
        </is>
      </c>
      <c r="B182" s="20" t="inlineStr">
        <is>
          <t>EJ-2627-S0181</t>
        </is>
      </c>
      <c r="C182" s="20" t="inlineStr">
        <is>
          <t>Зоригт Мандуул</t>
        </is>
      </c>
      <c r="D182" s="20" t="inlineStr">
        <is>
          <t>EJ-2627-8A</t>
        </is>
      </c>
      <c r="E182" s="20" t="inlineStr">
        <is>
          <t>8а</t>
        </is>
      </c>
      <c r="F182" s="20" t="n">
        <v>8</v>
      </c>
      <c r="G182" s="20" t="inlineStr">
        <is>
          <t>ej26s0180</t>
        </is>
      </c>
      <c r="H182" s="20" t="inlineStr">
        <is>
          <t>УО13292619</t>
        </is>
      </c>
      <c r="I182" s="20" t="inlineStr">
        <is>
          <t>Тийм</t>
        </is>
      </c>
    </row>
    <row r="183">
      <c r="A183" s="19" t="inlineStr">
        <is>
          <t>БОДИТ</t>
        </is>
      </c>
      <c r="B183" s="20" t="inlineStr">
        <is>
          <t>EJ-2627-S0169</t>
        </is>
      </c>
      <c r="C183" s="20" t="inlineStr">
        <is>
          <t>Мөнхбаатар Анар</t>
        </is>
      </c>
      <c r="D183" s="20" t="inlineStr">
        <is>
          <t>EJ-2627-8A</t>
        </is>
      </c>
      <c r="E183" s="20" t="inlineStr">
        <is>
          <t>8а</t>
        </is>
      </c>
      <c r="F183" s="20" t="n">
        <v>8</v>
      </c>
      <c r="G183" s="20" t="inlineStr">
        <is>
          <t>ej26s0168</t>
        </is>
      </c>
      <c r="H183" s="20" t="inlineStr">
        <is>
          <t>УТ13310729</t>
        </is>
      </c>
      <c r="I183" s="20" t="inlineStr">
        <is>
          <t>Тийм</t>
        </is>
      </c>
    </row>
    <row r="184">
      <c r="A184" s="19" t="inlineStr">
        <is>
          <t>БОДИТ</t>
        </is>
      </c>
      <c r="B184" s="20" t="inlineStr">
        <is>
          <t>EJ-2627-S0175</t>
        </is>
      </c>
      <c r="C184" s="20" t="inlineStr">
        <is>
          <t>Оросоо Хасу</t>
        </is>
      </c>
      <c r="D184" s="20" t="inlineStr">
        <is>
          <t>EJ-2627-8A</t>
        </is>
      </c>
      <c r="E184" s="20" t="inlineStr">
        <is>
          <t>8а</t>
        </is>
      </c>
      <c r="F184" s="20" t="n">
        <v>8</v>
      </c>
      <c r="G184" s="20" t="inlineStr">
        <is>
          <t>ej26s0174</t>
        </is>
      </c>
      <c r="H184" s="20" t="inlineStr">
        <is>
          <t>УШ13292692</t>
        </is>
      </c>
      <c r="I184" s="20" t="inlineStr">
        <is>
          <t>Тийм</t>
        </is>
      </c>
    </row>
    <row r="185">
      <c r="A185" s="19" t="inlineStr">
        <is>
          <t>БОДИТ</t>
        </is>
      </c>
      <c r="B185" s="20" t="inlineStr">
        <is>
          <t>EJ-2627-S0182</t>
        </is>
      </c>
      <c r="C185" s="20" t="inlineStr">
        <is>
          <t>Пүрэвдорж Сондор</t>
        </is>
      </c>
      <c r="D185" s="20" t="inlineStr">
        <is>
          <t>EJ-2627-8A</t>
        </is>
      </c>
      <c r="E185" s="20" t="inlineStr">
        <is>
          <t>8а</t>
        </is>
      </c>
      <c r="F185" s="20" t="n">
        <v>8</v>
      </c>
      <c r="G185" s="20" t="inlineStr">
        <is>
          <t>ej26s0181</t>
        </is>
      </c>
      <c r="H185" s="20" t="inlineStr">
        <is>
          <t>УЗ13320947</t>
        </is>
      </c>
      <c r="I185" s="20" t="inlineStr">
        <is>
          <t>Тийм</t>
        </is>
      </c>
    </row>
    <row r="186">
      <c r="A186" s="19" t="inlineStr">
        <is>
          <t>БОДИТ</t>
        </is>
      </c>
      <c r="B186" s="20" t="inlineStr">
        <is>
          <t>EJ-2627-S0184</t>
        </is>
      </c>
      <c r="C186" s="20" t="inlineStr">
        <is>
          <t>Санжаажав Галбадрах</t>
        </is>
      </c>
      <c r="D186" s="20" t="inlineStr">
        <is>
          <t>EJ-2627-8A</t>
        </is>
      </c>
      <c r="E186" s="20" t="inlineStr">
        <is>
          <t>8а</t>
        </is>
      </c>
      <c r="F186" s="20" t="n">
        <v>8</v>
      </c>
      <c r="G186" s="20" t="inlineStr">
        <is>
          <t>ej26s0183</t>
        </is>
      </c>
      <c r="H186" s="20" t="inlineStr">
        <is>
          <t>ЙА13230211</t>
        </is>
      </c>
      <c r="I186" s="20" t="inlineStr">
        <is>
          <t>Тийм</t>
        </is>
      </c>
    </row>
    <row r="187">
      <c r="A187" s="19" t="inlineStr">
        <is>
          <t>БОДИТ</t>
        </is>
      </c>
      <c r="B187" s="20" t="inlineStr">
        <is>
          <t>EJ-2627-S0173</t>
        </is>
      </c>
      <c r="C187" s="20" t="inlineStr">
        <is>
          <t>Төгөлдөр Тэргэл</t>
        </is>
      </c>
      <c r="D187" s="20" t="inlineStr">
        <is>
          <t>EJ-2627-8A</t>
        </is>
      </c>
      <c r="E187" s="20" t="inlineStr">
        <is>
          <t>8а</t>
        </is>
      </c>
      <c r="F187" s="20" t="n">
        <v>8</v>
      </c>
      <c r="G187" s="20" t="inlineStr">
        <is>
          <t>ej26s0172</t>
        </is>
      </c>
      <c r="H187" s="20" t="inlineStr">
        <is>
          <t>УД13261924</t>
        </is>
      </c>
      <c r="I187" s="20" t="inlineStr">
        <is>
          <t>Тийм</t>
        </is>
      </c>
    </row>
    <row r="188">
      <c r="A188" s="19" t="inlineStr">
        <is>
          <t>БОДИТ</t>
        </is>
      </c>
      <c r="B188" s="20" t="inlineStr">
        <is>
          <t>EJ-2627-S0178</t>
        </is>
      </c>
      <c r="C188" s="20" t="inlineStr">
        <is>
          <t>Энхбат Энхриймаа</t>
        </is>
      </c>
      <c r="D188" s="20" t="inlineStr">
        <is>
          <t>EJ-2627-8A</t>
        </is>
      </c>
      <c r="E188" s="20" t="inlineStr">
        <is>
          <t>8а</t>
        </is>
      </c>
      <c r="F188" s="20" t="n">
        <v>8</v>
      </c>
      <c r="G188" s="20" t="inlineStr">
        <is>
          <t>ej26s0177</t>
        </is>
      </c>
      <c r="H188" s="20" t="inlineStr">
        <is>
          <t>УО13321707</t>
        </is>
      </c>
      <c r="I188" s="20" t="inlineStr">
        <is>
          <t>Тийм</t>
        </is>
      </c>
    </row>
    <row r="189">
      <c r="A189" s="19" t="inlineStr">
        <is>
          <t>БОДИТ</t>
        </is>
      </c>
      <c r="B189" s="20" t="inlineStr">
        <is>
          <t>EJ-2627-S0177</t>
        </is>
      </c>
      <c r="C189" s="20" t="inlineStr">
        <is>
          <t>Энхпүрэв Энхмэнд</t>
        </is>
      </c>
      <c r="D189" s="20" t="inlineStr">
        <is>
          <t>EJ-2627-8A</t>
        </is>
      </c>
      <c r="E189" s="20" t="inlineStr">
        <is>
          <t>8а</t>
        </is>
      </c>
      <c r="F189" s="20" t="n">
        <v>8</v>
      </c>
      <c r="G189" s="20" t="inlineStr">
        <is>
          <t>ej26s0176</t>
        </is>
      </c>
      <c r="H189" s="20" t="inlineStr">
        <is>
          <t>УХ13291732</t>
        </is>
      </c>
      <c r="I189" s="20" t="inlineStr">
        <is>
          <t>Тийм</t>
        </is>
      </c>
    </row>
    <row r="190">
      <c r="A190" s="19" t="inlineStr">
        <is>
          <t>БОДИТ</t>
        </is>
      </c>
      <c r="B190" s="20" t="inlineStr">
        <is>
          <t>EJ-2627-S0188</t>
        </is>
      </c>
      <c r="C190" s="20" t="inlineStr">
        <is>
          <t>Амарсайхан Болдбаатар</t>
        </is>
      </c>
      <c r="D190" s="20" t="inlineStr">
        <is>
          <t>EJ-2627-9A</t>
        </is>
      </c>
      <c r="E190" s="20" t="inlineStr">
        <is>
          <t>9а</t>
        </is>
      </c>
      <c r="F190" s="20" t="n">
        <v>9</v>
      </c>
      <c r="G190" s="20" t="inlineStr">
        <is>
          <t>ej26s0187</t>
        </is>
      </c>
      <c r="H190" s="20" t="inlineStr">
        <is>
          <t>УА12310893</t>
        </is>
      </c>
      <c r="I190" s="20" t="inlineStr">
        <is>
          <t>Тийм</t>
        </is>
      </c>
    </row>
    <row r="191">
      <c r="A191" s="19" t="inlineStr">
        <is>
          <t>БОДИТ</t>
        </is>
      </c>
      <c r="B191" s="20" t="inlineStr">
        <is>
          <t>EJ-2627-S0198</t>
        </is>
      </c>
      <c r="C191" s="20" t="inlineStr">
        <is>
          <t>Анхбаяр Өнөмөнхлөн</t>
        </is>
      </c>
      <c r="D191" s="20" t="inlineStr">
        <is>
          <t>EJ-2627-9A</t>
        </is>
      </c>
      <c r="E191" s="20" t="inlineStr">
        <is>
          <t>9а</t>
        </is>
      </c>
      <c r="F191" s="20" t="n">
        <v>9</v>
      </c>
      <c r="G191" s="20" t="inlineStr">
        <is>
          <t>ej26s0197</t>
        </is>
      </c>
      <c r="H191" s="20" t="inlineStr">
        <is>
          <t>УО12300721</t>
        </is>
      </c>
      <c r="I191" s="20" t="inlineStr">
        <is>
          <t>Тийм</t>
        </is>
      </c>
    </row>
    <row r="192">
      <c r="A192" s="19" t="inlineStr">
        <is>
          <t>БОДИТ</t>
        </is>
      </c>
      <c r="B192" s="20" t="inlineStr">
        <is>
          <t>EJ-2627-S0196</t>
        </is>
      </c>
      <c r="C192" s="20" t="inlineStr">
        <is>
          <t>Бат Энхүжин</t>
        </is>
      </c>
      <c r="D192" s="20" t="inlineStr">
        <is>
          <t>EJ-2627-9A</t>
        </is>
      </c>
      <c r="E192" s="20" t="inlineStr">
        <is>
          <t>9а</t>
        </is>
      </c>
      <c r="F192" s="20" t="n">
        <v>9</v>
      </c>
      <c r="G192" s="20" t="inlineStr">
        <is>
          <t>ej26s0195</t>
        </is>
      </c>
      <c r="H192" s="20" t="inlineStr">
        <is>
          <t>УТ12292128</t>
        </is>
      </c>
      <c r="I192" s="20" t="inlineStr">
        <is>
          <t>Тийм</t>
        </is>
      </c>
    </row>
    <row r="193">
      <c r="A193" s="19" t="inlineStr">
        <is>
          <t>БОДИТ</t>
        </is>
      </c>
      <c r="B193" s="20" t="inlineStr">
        <is>
          <t>EJ-2627-S0192</t>
        </is>
      </c>
      <c r="C193" s="20" t="inlineStr">
        <is>
          <t>Баттулга Содончимэг</t>
        </is>
      </c>
      <c r="D193" s="20" t="inlineStr">
        <is>
          <t>EJ-2627-9A</t>
        </is>
      </c>
      <c r="E193" s="20" t="inlineStr">
        <is>
          <t>9а</t>
        </is>
      </c>
      <c r="F193" s="20" t="n">
        <v>9</v>
      </c>
      <c r="G193" s="20" t="inlineStr">
        <is>
          <t>ej26s0191</t>
        </is>
      </c>
      <c r="H193" s="20" t="inlineStr">
        <is>
          <t>УК12320624</t>
        </is>
      </c>
      <c r="I193" s="20" t="inlineStr">
        <is>
          <t>Тийм</t>
        </is>
      </c>
    </row>
    <row r="194">
      <c r="A194" s="19" t="inlineStr">
        <is>
          <t>БОДИТ</t>
        </is>
      </c>
      <c r="B194" s="20" t="inlineStr">
        <is>
          <t>EJ-2627-S0190</t>
        </is>
      </c>
      <c r="C194" s="20" t="inlineStr">
        <is>
          <t>Ганбаатар Нинжбадруун</t>
        </is>
      </c>
      <c r="D194" s="20" t="inlineStr">
        <is>
          <t>EJ-2627-9A</t>
        </is>
      </c>
      <c r="E194" s="20" t="inlineStr">
        <is>
          <t>9а</t>
        </is>
      </c>
      <c r="F194" s="20" t="n">
        <v>9</v>
      </c>
      <c r="G194" s="20" t="inlineStr">
        <is>
          <t>ej26s0189</t>
        </is>
      </c>
      <c r="H194" s="20" t="inlineStr">
        <is>
          <t>УХ12232196</t>
        </is>
      </c>
      <c r="I194" s="20" t="inlineStr">
        <is>
          <t>Тийм</t>
        </is>
      </c>
    </row>
    <row r="195">
      <c r="A195" s="19" t="inlineStr">
        <is>
          <t>БОДИТ</t>
        </is>
      </c>
      <c r="B195" s="20" t="inlineStr">
        <is>
          <t>EJ-2627-S0193</t>
        </is>
      </c>
      <c r="C195" s="20" t="inlineStr">
        <is>
          <t>Ганбаатар Түшиг</t>
        </is>
      </c>
      <c r="D195" s="20" t="inlineStr">
        <is>
          <t>EJ-2627-9A</t>
        </is>
      </c>
      <c r="E195" s="20" t="inlineStr">
        <is>
          <t>9а</t>
        </is>
      </c>
      <c r="F195" s="20" t="n">
        <v>9</v>
      </c>
      <c r="G195" s="20" t="inlineStr">
        <is>
          <t>ej26s0192</t>
        </is>
      </c>
      <c r="H195" s="20" t="inlineStr">
        <is>
          <t>УЛ12271872</t>
        </is>
      </c>
      <c r="I195" s="20" t="inlineStr">
        <is>
          <t>Тийм</t>
        </is>
      </c>
    </row>
    <row r="196">
      <c r="A196" s="19" t="inlineStr">
        <is>
          <t>БОДИТ</t>
        </is>
      </c>
      <c r="B196" s="20" t="inlineStr">
        <is>
          <t>EJ-2627-S0195</t>
        </is>
      </c>
      <c r="C196" s="20" t="inlineStr">
        <is>
          <t>Ганцог Чинхүсэл</t>
        </is>
      </c>
      <c r="D196" s="20" t="inlineStr">
        <is>
          <t>EJ-2627-9A</t>
        </is>
      </c>
      <c r="E196" s="20" t="inlineStr">
        <is>
          <t>9а</t>
        </is>
      </c>
      <c r="F196" s="20" t="n">
        <v>9</v>
      </c>
      <c r="G196" s="20" t="inlineStr">
        <is>
          <t>ej26s0194</t>
        </is>
      </c>
      <c r="H196" s="20" t="inlineStr">
        <is>
          <t>УП12270697</t>
        </is>
      </c>
      <c r="I196" s="20" t="inlineStr">
        <is>
          <t>Тийм</t>
        </is>
      </c>
    </row>
    <row r="197">
      <c r="A197" s="19" t="inlineStr">
        <is>
          <t>БОДИТ</t>
        </is>
      </c>
      <c r="B197" s="20" t="inlineStr">
        <is>
          <t>EJ-2627-S0191</t>
        </is>
      </c>
      <c r="C197" s="20" t="inlineStr">
        <is>
          <t>Мөнхманлай Саруул</t>
        </is>
      </c>
      <c r="D197" s="20" t="inlineStr">
        <is>
          <t>EJ-2627-9A</t>
        </is>
      </c>
      <c r="E197" s="20" t="inlineStr">
        <is>
          <t>9а</t>
        </is>
      </c>
      <c r="F197" s="20" t="n">
        <v>9</v>
      </c>
      <c r="G197" s="20" t="inlineStr">
        <is>
          <t>ej26s0190</t>
        </is>
      </c>
      <c r="H197" s="20" t="inlineStr">
        <is>
          <t>УК12291205</t>
        </is>
      </c>
      <c r="I197" s="20" t="inlineStr">
        <is>
          <t>Тийм</t>
        </is>
      </c>
    </row>
    <row r="198">
      <c r="A198" s="19" t="inlineStr">
        <is>
          <t>БОДИТ</t>
        </is>
      </c>
      <c r="B198" s="20" t="inlineStr">
        <is>
          <t>EJ-2627-S0187</t>
        </is>
      </c>
      <c r="C198" s="20" t="inlineStr">
        <is>
          <t>Нарангарав Базаррагчаа</t>
        </is>
      </c>
      <c r="D198" s="20" t="inlineStr">
        <is>
          <t>EJ-2627-9A</t>
        </is>
      </c>
      <c r="E198" s="20" t="inlineStr">
        <is>
          <t>9а</t>
        </is>
      </c>
      <c r="F198" s="20" t="n">
        <v>9</v>
      </c>
      <c r="G198" s="20" t="inlineStr">
        <is>
          <t>ej26s0186</t>
        </is>
      </c>
      <c r="H198" s="20" t="inlineStr">
        <is>
          <t>УО12322170</t>
        </is>
      </c>
      <c r="I198" s="20" t="inlineStr">
        <is>
          <t>Тийм</t>
        </is>
      </c>
    </row>
    <row r="199">
      <c r="A199" s="19" t="inlineStr">
        <is>
          <t>БОДИТ</t>
        </is>
      </c>
      <c r="B199" s="20" t="inlineStr">
        <is>
          <t>EJ-2627-S0189</t>
        </is>
      </c>
      <c r="C199" s="20" t="inlineStr">
        <is>
          <t>Пүрэвдорж Гуамөрөн</t>
        </is>
      </c>
      <c r="D199" s="20" t="inlineStr">
        <is>
          <t>EJ-2627-9A</t>
        </is>
      </c>
      <c r="E199" s="20" t="inlineStr">
        <is>
          <t>9а</t>
        </is>
      </c>
      <c r="F199" s="20" t="n">
        <v>9</v>
      </c>
      <c r="G199" s="20" t="inlineStr">
        <is>
          <t>ej26s0188</t>
        </is>
      </c>
      <c r="H199" s="20" t="inlineStr">
        <is>
          <t>УП12251649</t>
        </is>
      </c>
      <c r="I199" s="20" t="inlineStr">
        <is>
          <t>Тийм</t>
        </is>
      </c>
    </row>
    <row r="200">
      <c r="A200" s="19" t="inlineStr">
        <is>
          <t>БОДИТ</t>
        </is>
      </c>
      <c r="B200" s="20" t="inlineStr">
        <is>
          <t>EJ-2627-S0194</t>
        </is>
      </c>
      <c r="C200" s="20" t="inlineStr">
        <is>
          <t>Пүрэвцэрэн Урансолонго</t>
        </is>
      </c>
      <c r="D200" s="20" t="inlineStr">
        <is>
          <t>EJ-2627-9A</t>
        </is>
      </c>
      <c r="E200" s="20" t="inlineStr">
        <is>
          <t>9а</t>
        </is>
      </c>
      <c r="F200" s="20" t="n">
        <v>9</v>
      </c>
      <c r="G200" s="20" t="inlineStr">
        <is>
          <t>ej26s0193</t>
        </is>
      </c>
      <c r="H200" s="20" t="inlineStr">
        <is>
          <t>УЖ12280883</t>
        </is>
      </c>
      <c r="I200" s="20" t="inlineStr">
        <is>
          <t>Тийм</t>
        </is>
      </c>
    </row>
    <row r="201">
      <c r="A201" s="19" t="inlineStr">
        <is>
          <t>БОДИТ</t>
        </is>
      </c>
      <c r="B201" s="20" t="inlineStr">
        <is>
          <t>EJ-2627-S0197</t>
        </is>
      </c>
      <c r="C201" s="20" t="inlineStr">
        <is>
          <t>Сарантуяа Эрдэмтөгс</t>
        </is>
      </c>
      <c r="D201" s="20" t="inlineStr">
        <is>
          <t>EJ-2627-9A</t>
        </is>
      </c>
      <c r="E201" s="20" t="inlineStr">
        <is>
          <t>9а</t>
        </is>
      </c>
      <c r="F201" s="20" t="n">
        <v>9</v>
      </c>
      <c r="G201" s="20" t="inlineStr">
        <is>
          <t>ej26s0196</t>
        </is>
      </c>
      <c r="H201" s="20" t="inlineStr">
        <is>
          <t>ФА12281101</t>
        </is>
      </c>
      <c r="I201" s="20" t="inlineStr">
        <is>
          <t>Тийм</t>
        </is>
      </c>
    </row>
    <row r="202">
      <c r="A202" s="19" t="inlineStr">
        <is>
          <t>БОДИТ</t>
        </is>
      </c>
      <c r="B202" s="20" t="inlineStr">
        <is>
          <t>EJ-2627-S0186</t>
        </is>
      </c>
      <c r="C202" s="20" t="inlineStr">
        <is>
          <t>Чимидцэеэ Бадрах</t>
        </is>
      </c>
      <c r="D202" s="20" t="inlineStr">
        <is>
          <t>EJ-2627-9A</t>
        </is>
      </c>
      <c r="E202" s="20" t="inlineStr">
        <is>
          <t>9а</t>
        </is>
      </c>
      <c r="F202" s="20" t="n">
        <v>9</v>
      </c>
      <c r="G202" s="20" t="inlineStr">
        <is>
          <t>ej26s0185</t>
        </is>
      </c>
      <c r="H202" s="20" t="inlineStr">
        <is>
          <t>УЛ11322852</t>
        </is>
      </c>
      <c r="I202" s="20" t="inlineStr">
        <is>
          <t>Тийм</t>
        </is>
      </c>
    </row>
    <row r="203">
      <c r="A203" s="19" t="inlineStr">
        <is>
          <t>БОДИТ</t>
        </is>
      </c>
      <c r="B203" s="20" t="inlineStr">
        <is>
          <t>EJ-2627-S0203</t>
        </is>
      </c>
      <c r="C203" s="20" t="inlineStr">
        <is>
          <t>Бат-Эрдэнэ Мөнхтайван</t>
        </is>
      </c>
      <c r="D203" s="20" t="inlineStr">
        <is>
          <t>EJ-2627-9B</t>
        </is>
      </c>
      <c r="E203" s="20" t="inlineStr">
        <is>
          <t>9б</t>
        </is>
      </c>
      <c r="F203" s="20" t="n">
        <v>9</v>
      </c>
      <c r="G203" s="20" t="inlineStr">
        <is>
          <t>ej26s0202</t>
        </is>
      </c>
      <c r="H203" s="20" t="inlineStr">
        <is>
          <t>ЩЙ12231711</t>
        </is>
      </c>
      <c r="I203" s="20" t="inlineStr">
        <is>
          <t>Тийм</t>
        </is>
      </c>
    </row>
    <row r="204">
      <c r="A204" s="19" t="inlineStr">
        <is>
          <t>БОДИТ</t>
        </is>
      </c>
      <c r="B204" s="20" t="inlineStr">
        <is>
          <t>EJ-2627-S0202</t>
        </is>
      </c>
      <c r="C204" s="20" t="inlineStr">
        <is>
          <t>Баянмөнх Мөнхбаясгалан</t>
        </is>
      </c>
      <c r="D204" s="20" t="inlineStr">
        <is>
          <t>EJ-2627-9B</t>
        </is>
      </c>
      <c r="E204" s="20" t="inlineStr">
        <is>
          <t>9б</t>
        </is>
      </c>
      <c r="F204" s="20" t="n">
        <v>9</v>
      </c>
      <c r="G204" s="20" t="inlineStr">
        <is>
          <t>ej26s0201</t>
        </is>
      </c>
      <c r="H204" s="20" t="inlineStr">
        <is>
          <t>УК12222254</t>
        </is>
      </c>
      <c r="I204" s="20" t="inlineStr">
        <is>
          <t>Тийм</t>
        </is>
      </c>
    </row>
    <row r="205">
      <c r="A205" s="19" t="inlineStr">
        <is>
          <t>БОДИТ</t>
        </is>
      </c>
      <c r="B205" s="20" t="inlineStr">
        <is>
          <t>EJ-2627-S0207</t>
        </is>
      </c>
      <c r="C205" s="20" t="inlineStr">
        <is>
          <t>Доржпүрэв Түвшинсайхан</t>
        </is>
      </c>
      <c r="D205" s="20" t="inlineStr">
        <is>
          <t>EJ-2627-9B</t>
        </is>
      </c>
      <c r="E205" s="20" t="inlineStr">
        <is>
          <t>9б</t>
        </is>
      </c>
      <c r="F205" s="20" t="n">
        <v>9</v>
      </c>
      <c r="G205" s="20" t="inlineStr">
        <is>
          <t>ej26s0206</t>
        </is>
      </c>
      <c r="H205" s="20" t="inlineStr">
        <is>
          <t>УХ12270455</t>
        </is>
      </c>
      <c r="I205" s="20" t="inlineStr">
        <is>
          <t>Тийм</t>
        </is>
      </c>
    </row>
    <row r="206">
      <c r="A206" s="19" t="inlineStr">
        <is>
          <t>БОДИТ</t>
        </is>
      </c>
      <c r="B206" s="20" t="inlineStr">
        <is>
          <t>EJ-2627-S0199</t>
        </is>
      </c>
      <c r="C206" s="20" t="inlineStr">
        <is>
          <t>Дөлгөөнбат Баянмөнх</t>
        </is>
      </c>
      <c r="D206" s="20" t="inlineStr">
        <is>
          <t>EJ-2627-9B</t>
        </is>
      </c>
      <c r="E206" s="20" t="inlineStr">
        <is>
          <t>9б</t>
        </is>
      </c>
      <c r="F206" s="20" t="n">
        <v>9</v>
      </c>
      <c r="G206" s="20" t="inlineStr">
        <is>
          <t>ej26s0198</t>
        </is>
      </c>
      <c r="H206" s="20" t="inlineStr">
        <is>
          <t>УЖ12251679</t>
        </is>
      </c>
      <c r="I206" s="20" t="inlineStr">
        <is>
          <t>Тийм</t>
        </is>
      </c>
    </row>
    <row r="207">
      <c r="A207" s="19" t="inlineStr">
        <is>
          <t>БОДИТ</t>
        </is>
      </c>
      <c r="B207" s="20" t="inlineStr">
        <is>
          <t>EJ-2627-S0209</t>
        </is>
      </c>
      <c r="C207" s="20" t="inlineStr">
        <is>
          <t>Жүнэс Цэнгүүнбилэг</t>
        </is>
      </c>
      <c r="D207" s="20" t="inlineStr">
        <is>
          <t>EJ-2627-9B</t>
        </is>
      </c>
      <c r="E207" s="20" t="inlineStr">
        <is>
          <t>9б</t>
        </is>
      </c>
      <c r="F207" s="20" t="n">
        <v>9</v>
      </c>
      <c r="G207" s="20" t="inlineStr">
        <is>
          <t>ej26s0208</t>
        </is>
      </c>
      <c r="H207" s="20" t="inlineStr">
        <is>
          <t>УХ12291071</t>
        </is>
      </c>
      <c r="I207" s="20" t="inlineStr">
        <is>
          <t>Тийм</t>
        </is>
      </c>
    </row>
    <row r="208">
      <c r="A208" s="19" t="inlineStr">
        <is>
          <t>БОДИТ</t>
        </is>
      </c>
      <c r="B208" s="20" t="inlineStr">
        <is>
          <t>EJ-2627-S0205</t>
        </is>
      </c>
      <c r="C208" s="20" t="inlineStr">
        <is>
          <t>Ичинхорол Саруул-Эрдэнэ</t>
        </is>
      </c>
      <c r="D208" s="20" t="inlineStr">
        <is>
          <t>EJ-2627-9B</t>
        </is>
      </c>
      <c r="E208" s="20" t="inlineStr">
        <is>
          <t>9б</t>
        </is>
      </c>
      <c r="F208" s="20" t="n">
        <v>9</v>
      </c>
      <c r="G208" s="20" t="inlineStr">
        <is>
          <t>ej26s0204</t>
        </is>
      </c>
      <c r="H208" s="20" t="inlineStr">
        <is>
          <t>ИЮ12301527</t>
        </is>
      </c>
      <c r="I208" s="20" t="inlineStr">
        <is>
          <t>Тийм</t>
        </is>
      </c>
    </row>
    <row r="209">
      <c r="A209" s="19" t="inlineStr">
        <is>
          <t>БОДИТ</t>
        </is>
      </c>
      <c r="B209" s="20" t="inlineStr">
        <is>
          <t>EJ-2627-S0201</t>
        </is>
      </c>
      <c r="C209" s="20" t="inlineStr">
        <is>
          <t>Мандахбаяр Мишээл</t>
        </is>
      </c>
      <c r="D209" s="20" t="inlineStr">
        <is>
          <t>EJ-2627-9B</t>
        </is>
      </c>
      <c r="E209" s="20" t="inlineStr">
        <is>
          <t>9б</t>
        </is>
      </c>
      <c r="F209" s="20" t="n">
        <v>9</v>
      </c>
      <c r="G209" s="20" t="inlineStr">
        <is>
          <t>ej26s0200</t>
        </is>
      </c>
      <c r="H209" s="20" t="inlineStr">
        <is>
          <t>УЧ12312641</t>
        </is>
      </c>
      <c r="I209" s="20" t="inlineStr">
        <is>
          <t>Тийм</t>
        </is>
      </c>
    </row>
    <row r="210">
      <c r="A210" s="19" t="inlineStr">
        <is>
          <t>БОДИТ</t>
        </is>
      </c>
      <c r="B210" s="20" t="inlineStr">
        <is>
          <t>EJ-2627-S0200</t>
        </is>
      </c>
      <c r="C210" s="20" t="inlineStr">
        <is>
          <t>Нэргүй Гэрэлт-Од</t>
        </is>
      </c>
      <c r="D210" s="20" t="inlineStr">
        <is>
          <t>EJ-2627-9B</t>
        </is>
      </c>
      <c r="E210" s="20" t="inlineStr">
        <is>
          <t>9б</t>
        </is>
      </c>
      <c r="F210" s="20" t="n">
        <v>9</v>
      </c>
      <c r="G210" s="20" t="inlineStr">
        <is>
          <t>ej26s0199</t>
        </is>
      </c>
      <c r="H210" s="20" t="inlineStr">
        <is>
          <t>УЧ12220518</t>
        </is>
      </c>
      <c r="I210" s="20" t="inlineStr">
        <is>
          <t>Тийм</t>
        </is>
      </c>
    </row>
    <row r="211">
      <c r="A211" s="19" t="inlineStr">
        <is>
          <t>БОДИТ</t>
        </is>
      </c>
      <c r="B211" s="20" t="inlineStr">
        <is>
          <t>EJ-2627-S0210</t>
        </is>
      </c>
      <c r="C211" s="20" t="inlineStr">
        <is>
          <t>Отгонпүрэв Амгаланзаяа</t>
        </is>
      </c>
      <c r="D211" s="20" t="inlineStr">
        <is>
          <t>EJ-2627-9B</t>
        </is>
      </c>
      <c r="E211" s="20" t="inlineStr">
        <is>
          <t>9б</t>
        </is>
      </c>
      <c r="F211" s="20" t="n">
        <v>9</v>
      </c>
      <c r="G211" s="20" t="inlineStr">
        <is>
          <t>ej26s0209</t>
        </is>
      </c>
      <c r="H211" s="20" t="inlineStr">
        <is>
          <t>МЗ12230601</t>
        </is>
      </c>
      <c r="I211" s="20" t="inlineStr">
        <is>
          <t>Тийм</t>
        </is>
      </c>
    </row>
    <row r="212">
      <c r="A212" s="19" t="inlineStr">
        <is>
          <t>БОДИТ</t>
        </is>
      </c>
      <c r="B212" s="20" t="inlineStr">
        <is>
          <t>EJ-2627-S0208</t>
        </is>
      </c>
      <c r="C212" s="20" t="inlineStr">
        <is>
          <t>Цэрэнхүү Хосбаяр</t>
        </is>
      </c>
      <c r="D212" s="20" t="inlineStr">
        <is>
          <t>EJ-2627-9B</t>
        </is>
      </c>
      <c r="E212" s="20" t="inlineStr">
        <is>
          <t>9б</t>
        </is>
      </c>
      <c r="F212" s="20" t="n">
        <v>9</v>
      </c>
      <c r="G212" s="20" t="inlineStr">
        <is>
          <t>ej26s0207</t>
        </is>
      </c>
      <c r="H212" s="20" t="inlineStr">
        <is>
          <t>УЖ12273053</t>
        </is>
      </c>
      <c r="I212" s="20" t="inlineStr">
        <is>
          <t>Тийм</t>
        </is>
      </c>
    </row>
    <row r="213">
      <c r="A213" s="19" t="inlineStr">
        <is>
          <t>БОДИТ</t>
        </is>
      </c>
      <c r="B213" s="20" t="inlineStr">
        <is>
          <t>EJ-2627-S0204</t>
        </is>
      </c>
      <c r="C213" s="20" t="inlineStr">
        <is>
          <t>Энхсайхан Саран-Үжин</t>
        </is>
      </c>
      <c r="D213" s="20" t="inlineStr">
        <is>
          <t>EJ-2627-9B</t>
        </is>
      </c>
      <c r="E213" s="20" t="inlineStr">
        <is>
          <t>9б</t>
        </is>
      </c>
      <c r="F213" s="20" t="n">
        <v>9</v>
      </c>
      <c r="G213" s="20" t="inlineStr">
        <is>
          <t>ej26s0203</t>
        </is>
      </c>
      <c r="H213" s="20" t="inlineStr">
        <is>
          <t>УП12231321</t>
        </is>
      </c>
      <c r="I213" s="20" t="inlineStr">
        <is>
          <t>Тийм</t>
        </is>
      </c>
    </row>
    <row r="214">
      <c r="A214" s="19" t="inlineStr">
        <is>
          <t>БОДИТ</t>
        </is>
      </c>
      <c r="B214" s="20" t="inlineStr">
        <is>
          <t>EJ-2627-S0206</t>
        </is>
      </c>
      <c r="C214" s="20" t="inlineStr">
        <is>
          <t>Энхтөр Тэргэл</t>
        </is>
      </c>
      <c r="D214" s="20" t="inlineStr">
        <is>
          <t>EJ-2627-9B</t>
        </is>
      </c>
      <c r="E214" s="20" t="inlineStr">
        <is>
          <t>9б</t>
        </is>
      </c>
      <c r="F214" s="20" t="n">
        <v>9</v>
      </c>
      <c r="G214" s="20" t="inlineStr">
        <is>
          <t>ej26s0205</t>
        </is>
      </c>
      <c r="H214" s="20" t="inlineStr">
        <is>
          <t>УУ12222191</t>
        </is>
      </c>
      <c r="I214" s="20" t="inlineStr">
        <is>
          <t>Тийм</t>
        </is>
      </c>
    </row>
    <row r="215">
      <c r="A215" s="19" t="inlineStr">
        <is>
          <t>БОДИТ</t>
        </is>
      </c>
      <c r="B215" s="20" t="inlineStr">
        <is>
          <t>EJ-2627-S0213</t>
        </is>
      </c>
      <c r="C215" s="20" t="inlineStr">
        <is>
          <t>Баяртогтох Батжаргал</t>
        </is>
      </c>
      <c r="D215" s="20" t="inlineStr">
        <is>
          <t>EJ-2627-10A</t>
        </is>
      </c>
      <c r="E215" s="20" t="inlineStr">
        <is>
          <t>10а</t>
        </is>
      </c>
      <c r="F215" s="20" t="n">
        <v>10</v>
      </c>
      <c r="G215" s="20" t="inlineStr">
        <is>
          <t>ej26s0212</t>
        </is>
      </c>
      <c r="H215" s="20" t="inlineStr">
        <is>
          <t>УК11250192</t>
        </is>
      </c>
      <c r="I215" s="20" t="inlineStr">
        <is>
          <t>Тийм</t>
        </is>
      </c>
    </row>
    <row r="216">
      <c r="A216" s="19" t="inlineStr">
        <is>
          <t>БОДИТ</t>
        </is>
      </c>
      <c r="B216" s="20" t="inlineStr">
        <is>
          <t>EJ-2627-S0217</t>
        </is>
      </c>
      <c r="C216" s="20" t="inlineStr">
        <is>
          <t>Ганболд Мөнхчулуун</t>
        </is>
      </c>
      <c r="D216" s="20" t="inlineStr">
        <is>
          <t>EJ-2627-10A</t>
        </is>
      </c>
      <c r="E216" s="20" t="inlineStr">
        <is>
          <t>10а</t>
        </is>
      </c>
      <c r="F216" s="20" t="n">
        <v>10</v>
      </c>
      <c r="G216" s="20" t="inlineStr">
        <is>
          <t>ej26s0216</t>
        </is>
      </c>
      <c r="H216" s="20" t="inlineStr">
        <is>
          <t>ВМ11322814</t>
        </is>
      </c>
      <c r="I216" s="20" t="inlineStr">
        <is>
          <t>Тийм</t>
        </is>
      </c>
    </row>
    <row r="217">
      <c r="A217" s="19" t="inlineStr">
        <is>
          <t>БОДИТ</t>
        </is>
      </c>
      <c r="B217" s="20" t="inlineStr">
        <is>
          <t>EJ-2627-S0219</t>
        </is>
      </c>
      <c r="C217" s="20" t="inlineStr">
        <is>
          <t>Ганзориг Уянганаран</t>
        </is>
      </c>
      <c r="D217" s="20" t="inlineStr">
        <is>
          <t>EJ-2627-10A</t>
        </is>
      </c>
      <c r="E217" s="20" t="inlineStr">
        <is>
          <t>10а</t>
        </is>
      </c>
      <c r="F217" s="20" t="n">
        <v>10</v>
      </c>
      <c r="G217" s="20" t="inlineStr">
        <is>
          <t>ej26s0218</t>
        </is>
      </c>
      <c r="H217" s="20" t="inlineStr">
        <is>
          <t>УШ11321442</t>
        </is>
      </c>
      <c r="I217" s="20" t="inlineStr">
        <is>
          <t>Тийм</t>
        </is>
      </c>
    </row>
    <row r="218">
      <c r="A218" s="19" t="inlineStr">
        <is>
          <t>БОДИТ</t>
        </is>
      </c>
      <c r="B218" s="20" t="inlineStr">
        <is>
          <t>EJ-2627-S0216</t>
        </is>
      </c>
      <c r="C218" s="20" t="inlineStr">
        <is>
          <t>Гантулга Маргад</t>
        </is>
      </c>
      <c r="D218" s="20" t="inlineStr">
        <is>
          <t>EJ-2627-10A</t>
        </is>
      </c>
      <c r="E218" s="20" t="inlineStr">
        <is>
          <t>10а</t>
        </is>
      </c>
      <c r="F218" s="20" t="n">
        <v>10</v>
      </c>
      <c r="G218" s="20" t="inlineStr">
        <is>
          <t>ej26s0215</t>
        </is>
      </c>
      <c r="H218" s="20" t="inlineStr">
        <is>
          <t>УО11281048</t>
        </is>
      </c>
      <c r="I218" s="20" t="inlineStr">
        <is>
          <t>Тийм</t>
        </is>
      </c>
    </row>
    <row r="219">
      <c r="A219" s="19" t="inlineStr">
        <is>
          <t>БОДИТ</t>
        </is>
      </c>
      <c r="B219" s="20" t="inlineStr">
        <is>
          <t>EJ-2627-S0222</t>
        </is>
      </c>
      <c r="C219" s="20" t="inlineStr">
        <is>
          <t>Гантулга Эрхэмзаяа</t>
        </is>
      </c>
      <c r="D219" s="20" t="inlineStr">
        <is>
          <t>EJ-2627-10A</t>
        </is>
      </c>
      <c r="E219" s="20" t="inlineStr">
        <is>
          <t>10а</t>
        </is>
      </c>
      <c r="F219" s="20" t="n">
        <v>10</v>
      </c>
      <c r="G219" s="20" t="inlineStr">
        <is>
          <t>ej26s0221</t>
        </is>
      </c>
      <c r="H219" s="20" t="inlineStr">
        <is>
          <t>УО11301958</t>
        </is>
      </c>
      <c r="I219" s="20" t="inlineStr">
        <is>
          <t>Тийм</t>
        </is>
      </c>
    </row>
    <row r="220">
      <c r="A220" s="19" t="inlineStr">
        <is>
          <t>БОДИТ</t>
        </is>
      </c>
      <c r="B220" s="20" t="inlineStr">
        <is>
          <t>EJ-2627-S0223</t>
        </is>
      </c>
      <c r="C220" s="20" t="inlineStr">
        <is>
          <t>Лхагвабадрал Үлэмж</t>
        </is>
      </c>
      <c r="D220" s="20" t="inlineStr">
        <is>
          <t>EJ-2627-10A</t>
        </is>
      </c>
      <c r="E220" s="20" t="inlineStr">
        <is>
          <t>10а</t>
        </is>
      </c>
      <c r="F220" s="20" t="n">
        <v>10</v>
      </c>
      <c r="G220" s="20" t="inlineStr">
        <is>
          <t>ej26s0222</t>
        </is>
      </c>
      <c r="H220" s="20" t="inlineStr">
        <is>
          <t>УЖ11220712</t>
        </is>
      </c>
      <c r="I220" s="20" t="inlineStr">
        <is>
          <t>Тийм</t>
        </is>
      </c>
    </row>
    <row r="221">
      <c r="A221" s="19" t="inlineStr">
        <is>
          <t>БОДИТ</t>
        </is>
      </c>
      <c r="B221" s="20" t="inlineStr">
        <is>
          <t>EJ-2627-S0214</t>
        </is>
      </c>
      <c r="C221" s="20" t="inlineStr">
        <is>
          <t>Мөнгөнгэрэл Бат-Өлзий</t>
        </is>
      </c>
      <c r="D221" s="20" t="inlineStr">
        <is>
          <t>EJ-2627-10A</t>
        </is>
      </c>
      <c r="E221" s="20" t="inlineStr">
        <is>
          <t>10а</t>
        </is>
      </c>
      <c r="F221" s="20" t="n">
        <v>10</v>
      </c>
      <c r="G221" s="20" t="inlineStr">
        <is>
          <t>ej26s0213</t>
        </is>
      </c>
      <c r="H221" s="20" t="inlineStr">
        <is>
          <t>УЦ11220953</t>
        </is>
      </c>
      <c r="I221" s="20" t="inlineStr">
        <is>
          <t>Тийм</t>
        </is>
      </c>
    </row>
    <row r="222">
      <c r="A222" s="19" t="inlineStr">
        <is>
          <t>БОДИТ</t>
        </is>
      </c>
      <c r="B222" s="20" t="inlineStr">
        <is>
          <t>EJ-2627-S0211</t>
        </is>
      </c>
      <c r="C222" s="20" t="inlineStr">
        <is>
          <t>Мөнхбаатар Амина</t>
        </is>
      </c>
      <c r="D222" s="20" t="inlineStr">
        <is>
          <t>EJ-2627-10A</t>
        </is>
      </c>
      <c r="E222" s="20" t="inlineStr">
        <is>
          <t>10а</t>
        </is>
      </c>
      <c r="F222" s="20" t="n">
        <v>10</v>
      </c>
      <c r="G222" s="20" t="inlineStr">
        <is>
          <t>ej26s0210</t>
        </is>
      </c>
      <c r="H222" s="20" t="inlineStr">
        <is>
          <t>ЕЮ11211903</t>
        </is>
      </c>
      <c r="I222" s="20" t="inlineStr">
        <is>
          <t>Тийм</t>
        </is>
      </c>
    </row>
    <row r="223">
      <c r="A223" s="19" t="inlineStr">
        <is>
          <t>БОДИТ</t>
        </is>
      </c>
      <c r="B223" s="20" t="inlineStr">
        <is>
          <t>EJ-2627-S0218</t>
        </is>
      </c>
      <c r="C223" s="20" t="inlineStr">
        <is>
          <t>Мөнхтамир Төгсбилэг</t>
        </is>
      </c>
      <c r="D223" s="20" t="inlineStr">
        <is>
          <t>EJ-2627-10A</t>
        </is>
      </c>
      <c r="E223" s="20" t="inlineStr">
        <is>
          <t>10а</t>
        </is>
      </c>
      <c r="F223" s="20" t="n">
        <v>10</v>
      </c>
      <c r="G223" s="20" t="inlineStr">
        <is>
          <t>ej26s0217</t>
        </is>
      </c>
      <c r="H223" s="20" t="inlineStr">
        <is>
          <t>УШ11283018</t>
        </is>
      </c>
      <c r="I223" s="20" t="inlineStr">
        <is>
          <t>Тийм</t>
        </is>
      </c>
    </row>
    <row r="224">
      <c r="A224" s="19" t="inlineStr">
        <is>
          <t>БОДИТ</t>
        </is>
      </c>
      <c r="B224" s="20" t="inlineStr">
        <is>
          <t>EJ-2627-S0220</t>
        </is>
      </c>
      <c r="C224" s="20" t="inlineStr">
        <is>
          <t>Наранбаяр Чингүүн</t>
        </is>
      </c>
      <c r="D224" s="20" t="inlineStr">
        <is>
          <t>EJ-2627-10A</t>
        </is>
      </c>
      <c r="E224" s="20" t="inlineStr">
        <is>
          <t>10а</t>
        </is>
      </c>
      <c r="F224" s="20" t="n">
        <v>10</v>
      </c>
      <c r="G224" s="20" t="inlineStr">
        <is>
          <t>ej26s0219</t>
        </is>
      </c>
      <c r="H224" s="20" t="inlineStr">
        <is>
          <t>СР11241118</t>
        </is>
      </c>
      <c r="I224" s="20" t="inlineStr">
        <is>
          <t>Тийм</t>
        </is>
      </c>
    </row>
    <row r="225">
      <c r="A225" s="19" t="inlineStr">
        <is>
          <t>БОДИТ</t>
        </is>
      </c>
      <c r="B225" s="20" t="inlineStr">
        <is>
          <t>EJ-2627-S0212</t>
        </is>
      </c>
      <c r="C225" s="20" t="inlineStr">
        <is>
          <t>Өнөржаргал Анх-Эрдэнэ</t>
        </is>
      </c>
      <c r="D225" s="20" t="inlineStr">
        <is>
          <t>EJ-2627-10A</t>
        </is>
      </c>
      <c r="E225" s="20" t="inlineStr">
        <is>
          <t>10а</t>
        </is>
      </c>
      <c r="F225" s="20" t="n">
        <v>10</v>
      </c>
      <c r="G225" s="20" t="inlineStr">
        <is>
          <t>ej26s0211</t>
        </is>
      </c>
      <c r="H225" s="20" t="inlineStr">
        <is>
          <t>УК11282343</t>
        </is>
      </c>
      <c r="I225" s="20" t="inlineStr">
        <is>
          <t>Тийм</t>
        </is>
      </c>
    </row>
    <row r="226">
      <c r="A226" s="19" t="inlineStr">
        <is>
          <t>БОДИТ</t>
        </is>
      </c>
      <c r="B226" s="20" t="inlineStr">
        <is>
          <t>EJ-2627-S0215</t>
        </is>
      </c>
      <c r="C226" s="20" t="inlineStr">
        <is>
          <t>Сансар Итгэл</t>
        </is>
      </c>
      <c r="D226" s="20" t="inlineStr">
        <is>
          <t>EJ-2627-10A</t>
        </is>
      </c>
      <c r="E226" s="20" t="inlineStr">
        <is>
          <t>10а</t>
        </is>
      </c>
      <c r="F226" s="20" t="n">
        <v>10</v>
      </c>
      <c r="G226" s="20" t="inlineStr">
        <is>
          <t>ej26s0214</t>
        </is>
      </c>
      <c r="H226" s="20" t="inlineStr">
        <is>
          <t>УП11212853</t>
        </is>
      </c>
      <c r="I226" s="20" t="inlineStr">
        <is>
          <t>Тийм</t>
        </is>
      </c>
    </row>
    <row r="227">
      <c r="A227" s="19" t="inlineStr">
        <is>
          <t>БОДИТ</t>
        </is>
      </c>
      <c r="B227" s="20" t="inlineStr">
        <is>
          <t>EJ-2627-S0221</t>
        </is>
      </c>
      <c r="C227" s="20" t="inlineStr">
        <is>
          <t>Энхдэлгэр Энхтөгөлдөр</t>
        </is>
      </c>
      <c r="D227" s="20" t="inlineStr">
        <is>
          <t>EJ-2627-10A</t>
        </is>
      </c>
      <c r="E227" s="20" t="inlineStr">
        <is>
          <t>10а</t>
        </is>
      </c>
      <c r="F227" s="20" t="n">
        <v>10</v>
      </c>
      <c r="G227" s="20" t="inlineStr">
        <is>
          <t>ej26s0220</t>
        </is>
      </c>
      <c r="H227" s="20" t="inlineStr">
        <is>
          <t>УН11280391</t>
        </is>
      </c>
      <c r="I227" s="20" t="inlineStr">
        <is>
          <t>Тийм</t>
        </is>
      </c>
    </row>
    <row r="228">
      <c r="A228" s="19" t="inlineStr">
        <is>
          <t>БОДИТ</t>
        </is>
      </c>
      <c r="B228" s="20" t="inlineStr">
        <is>
          <t>EJ-2627-S0225</t>
        </is>
      </c>
      <c r="C228" s="20" t="inlineStr">
        <is>
          <t>Алтантулга Сарнай</t>
        </is>
      </c>
      <c r="D228" s="20" t="inlineStr">
        <is>
          <t>EJ-2627-11A</t>
        </is>
      </c>
      <c r="E228" s="20" t="inlineStr">
        <is>
          <t>11а</t>
        </is>
      </c>
      <c r="F228" s="20" t="n">
        <v>11</v>
      </c>
      <c r="G228" s="20" t="inlineStr">
        <is>
          <t>ej26s0224</t>
        </is>
      </c>
      <c r="H228" s="20" t="inlineStr">
        <is>
          <t>УШ10292547</t>
        </is>
      </c>
      <c r="I228" s="20" t="inlineStr">
        <is>
          <t>Тийм</t>
        </is>
      </c>
    </row>
    <row r="229">
      <c r="A229" s="19" t="inlineStr">
        <is>
          <t>БОДИТ</t>
        </is>
      </c>
      <c r="B229" s="20" t="inlineStr">
        <is>
          <t>EJ-2627-S0234</t>
        </is>
      </c>
      <c r="C229" s="20" t="inlineStr">
        <is>
          <t>Амраа Мягмарданзан</t>
        </is>
      </c>
      <c r="D229" s="20" t="inlineStr">
        <is>
          <t>EJ-2627-11A</t>
        </is>
      </c>
      <c r="E229" s="20" t="inlineStr">
        <is>
          <t>11а</t>
        </is>
      </c>
      <c r="F229" s="20" t="n">
        <v>11</v>
      </c>
      <c r="G229" s="20" t="inlineStr">
        <is>
          <t>ej26s0233</t>
        </is>
      </c>
      <c r="H229" s="20" t="inlineStr">
        <is>
          <t>УП10281970</t>
        </is>
      </c>
      <c r="I229" s="20" t="inlineStr">
        <is>
          <t>Тийм</t>
        </is>
      </c>
    </row>
    <row r="230">
      <c r="A230" s="19" t="inlineStr">
        <is>
          <t>БОДИТ</t>
        </is>
      </c>
      <c r="B230" s="20" t="inlineStr">
        <is>
          <t>EJ-2627-S0227</t>
        </is>
      </c>
      <c r="C230" s="20" t="inlineStr">
        <is>
          <t>Батхүү Удвал</t>
        </is>
      </c>
      <c r="D230" s="20" t="inlineStr">
        <is>
          <t>EJ-2627-11A</t>
        </is>
      </c>
      <c r="E230" s="20" t="inlineStr">
        <is>
          <t>11а</t>
        </is>
      </c>
      <c r="F230" s="20" t="n">
        <v>11</v>
      </c>
      <c r="G230" s="20" t="inlineStr">
        <is>
          <t>ej26s0226</t>
        </is>
      </c>
      <c r="H230" s="20" t="inlineStr">
        <is>
          <t>АК10250606</t>
        </is>
      </c>
      <c r="I230" s="20" t="inlineStr">
        <is>
          <t>Тийм</t>
        </is>
      </c>
    </row>
    <row r="231">
      <c r="A231" s="19" t="inlineStr">
        <is>
          <t>БОДИТ</t>
        </is>
      </c>
      <c r="B231" s="20" t="inlineStr">
        <is>
          <t>EJ-2627-S0232</t>
        </is>
      </c>
      <c r="C231" s="20" t="inlineStr">
        <is>
          <t>Баяртогтох Эрин</t>
        </is>
      </c>
      <c r="D231" s="20" t="inlineStr">
        <is>
          <t>EJ-2627-11A</t>
        </is>
      </c>
      <c r="E231" s="20" t="inlineStr">
        <is>
          <t>11а</t>
        </is>
      </c>
      <c r="F231" s="20" t="n">
        <v>11</v>
      </c>
      <c r="G231" s="20" t="inlineStr">
        <is>
          <t>ej26s0231</t>
        </is>
      </c>
      <c r="H231" s="20" t="inlineStr">
        <is>
          <t>УУ10222314</t>
        </is>
      </c>
      <c r="I231" s="20" t="inlineStr">
        <is>
          <t>Тийм</t>
        </is>
      </c>
    </row>
    <row r="232">
      <c r="A232" s="19" t="inlineStr">
        <is>
          <t>БОДИТ</t>
        </is>
      </c>
      <c r="B232" s="20" t="inlineStr">
        <is>
          <t>EJ-2627-S0230</t>
        </is>
      </c>
      <c r="C232" s="20" t="inlineStr">
        <is>
          <t>Билгүүн Цогтбаатар</t>
        </is>
      </c>
      <c r="D232" s="20" t="inlineStr">
        <is>
          <t>EJ-2627-11A</t>
        </is>
      </c>
      <c r="E232" s="20" t="inlineStr">
        <is>
          <t>11а</t>
        </is>
      </c>
      <c r="F232" s="20" t="n">
        <v>11</v>
      </c>
      <c r="G232" s="20" t="inlineStr">
        <is>
          <t>ej26s0229</t>
        </is>
      </c>
      <c r="H232" s="20" t="inlineStr">
        <is>
          <t>УЧ10312353</t>
        </is>
      </c>
      <c r="I232" s="20" t="inlineStr">
        <is>
          <t>Тийм</t>
        </is>
      </c>
    </row>
    <row r="233">
      <c r="A233" s="19" t="inlineStr">
        <is>
          <t>БОДИТ</t>
        </is>
      </c>
      <c r="B233" s="20" t="inlineStr">
        <is>
          <t>EJ-2627-S0228</t>
        </is>
      </c>
      <c r="C233" s="20" t="inlineStr">
        <is>
          <t>Болор-Эрдэнэ Хос-Эрдэнэ</t>
        </is>
      </c>
      <c r="D233" s="20" t="inlineStr">
        <is>
          <t>EJ-2627-11A</t>
        </is>
      </c>
      <c r="E233" s="20" t="inlineStr">
        <is>
          <t>11а</t>
        </is>
      </c>
      <c r="F233" s="20" t="n">
        <v>11</v>
      </c>
      <c r="G233" s="20" t="inlineStr">
        <is>
          <t>ej26s0227</t>
        </is>
      </c>
      <c r="H233" s="20" t="inlineStr">
        <is>
          <t>УО10282456</t>
        </is>
      </c>
      <c r="I233" s="20" t="inlineStr">
        <is>
          <t>Тийм</t>
        </is>
      </c>
    </row>
    <row r="234">
      <c r="A234" s="19" t="inlineStr">
        <is>
          <t>БОДИТ</t>
        </is>
      </c>
      <c r="B234" s="20" t="inlineStr">
        <is>
          <t>EJ-2627-S0231</t>
        </is>
      </c>
      <c r="C234" s="20" t="inlineStr">
        <is>
          <t>Галаа Энхзаяа</t>
        </is>
      </c>
      <c r="D234" s="20" t="inlineStr">
        <is>
          <t>EJ-2627-11A</t>
        </is>
      </c>
      <c r="E234" s="20" t="inlineStr">
        <is>
          <t>11а</t>
        </is>
      </c>
      <c r="F234" s="20" t="n">
        <v>11</v>
      </c>
      <c r="G234" s="20" t="inlineStr">
        <is>
          <t>ej26s0230</t>
        </is>
      </c>
      <c r="H234" s="20" t="inlineStr">
        <is>
          <t>УЦ10231428</t>
        </is>
      </c>
      <c r="I234" s="20" t="inlineStr">
        <is>
          <t>Тийм</t>
        </is>
      </c>
    </row>
    <row r="235">
      <c r="A235" s="19" t="inlineStr">
        <is>
          <t>БОДИТ</t>
        </is>
      </c>
      <c r="B235" s="20" t="inlineStr">
        <is>
          <t>EJ-2627-S0233</t>
        </is>
      </c>
      <c r="C235" s="20" t="inlineStr">
        <is>
          <t>Гансүх Мишээл</t>
        </is>
      </c>
      <c r="D235" s="20" t="inlineStr">
        <is>
          <t>EJ-2627-11A</t>
        </is>
      </c>
      <c r="E235" s="20" t="inlineStr">
        <is>
          <t>11а</t>
        </is>
      </c>
      <c r="F235" s="20" t="n">
        <v>11</v>
      </c>
      <c r="G235" s="20" t="inlineStr">
        <is>
          <t>ej26s0232</t>
        </is>
      </c>
      <c r="H235" s="20" t="inlineStr">
        <is>
          <t>УП10301300</t>
        </is>
      </c>
      <c r="I235" s="20" t="inlineStr">
        <is>
          <t>Тийм</t>
        </is>
      </c>
    </row>
    <row r="236">
      <c r="A236" s="19" t="inlineStr">
        <is>
          <t>БОДИТ</t>
        </is>
      </c>
      <c r="B236" s="20" t="inlineStr">
        <is>
          <t>EJ-2627-S0224</t>
        </is>
      </c>
      <c r="C236" s="20" t="inlineStr">
        <is>
          <t>Одончимэг Оюу-Эрдэнэ</t>
        </is>
      </c>
      <c r="D236" s="20" t="inlineStr">
        <is>
          <t>EJ-2627-11A</t>
        </is>
      </c>
      <c r="E236" s="20" t="inlineStr">
        <is>
          <t>11а</t>
        </is>
      </c>
      <c r="F236" s="20" t="n">
        <v>11</v>
      </c>
      <c r="G236" s="20" t="inlineStr">
        <is>
          <t>ej26s0223</t>
        </is>
      </c>
      <c r="H236" s="20" t="inlineStr">
        <is>
          <t>УУ10292127</t>
        </is>
      </c>
      <c r="I236" s="20" t="inlineStr">
        <is>
          <t>Тийм</t>
        </is>
      </c>
    </row>
    <row r="237">
      <c r="A237" s="19" t="inlineStr">
        <is>
          <t>БОДИТ</t>
        </is>
      </c>
      <c r="B237" s="20" t="inlineStr">
        <is>
          <t>EJ-2627-S0226</t>
        </is>
      </c>
      <c r="C237" s="20" t="inlineStr">
        <is>
          <t>Хүрэлхуяг Тэргэл</t>
        </is>
      </c>
      <c r="D237" s="20" t="inlineStr">
        <is>
          <t>EJ-2627-11A</t>
        </is>
      </c>
      <c r="E237" s="20" t="inlineStr">
        <is>
          <t>11а</t>
        </is>
      </c>
      <c r="F237" s="20" t="n">
        <v>11</v>
      </c>
      <c r="G237" s="20" t="inlineStr">
        <is>
          <t>ej26s0225</t>
        </is>
      </c>
      <c r="H237" s="20" t="inlineStr">
        <is>
          <t>УО10272647</t>
        </is>
      </c>
      <c r="I237" s="20" t="inlineStr">
        <is>
          <t>Тийм</t>
        </is>
      </c>
    </row>
    <row r="238">
      <c r="A238" s="19" t="inlineStr">
        <is>
          <t>БОДИТ</t>
        </is>
      </c>
      <c r="B238" s="20" t="inlineStr">
        <is>
          <t>EJ-2627-S0229</t>
        </is>
      </c>
      <c r="C238" s="20" t="inlineStr">
        <is>
          <t>Чингэсдалай Хүслэн</t>
        </is>
      </c>
      <c r="D238" s="20" t="inlineStr">
        <is>
          <t>EJ-2627-11A</t>
        </is>
      </c>
      <c r="E238" s="20" t="inlineStr">
        <is>
          <t>11а</t>
        </is>
      </c>
      <c r="F238" s="20" t="n">
        <v>11</v>
      </c>
      <c r="G238" s="20" t="inlineStr">
        <is>
          <t>ej26s0228</t>
        </is>
      </c>
      <c r="H238" s="20" t="inlineStr">
        <is>
          <t>УП08241439</t>
        </is>
      </c>
      <c r="I238" s="20" t="inlineStr">
        <is>
          <t>Тийм</t>
        </is>
      </c>
    </row>
    <row r="239">
      <c r="A239" s="19" t="inlineStr">
        <is>
          <t>БОДИТ</t>
        </is>
      </c>
      <c r="B239" s="20" t="inlineStr">
        <is>
          <t>EJ-2627-S0237</t>
        </is>
      </c>
      <c r="C239" s="20" t="inlineStr">
        <is>
          <t>Баатар Ананд</t>
        </is>
      </c>
      <c r="D239" s="20" t="inlineStr">
        <is>
          <t>EJ-2627-12A</t>
        </is>
      </c>
      <c r="E239" s="20" t="inlineStr">
        <is>
          <t>12а</t>
        </is>
      </c>
      <c r="F239" s="20" t="n">
        <v>12</v>
      </c>
      <c r="G239" s="20" t="inlineStr">
        <is>
          <t>ej26s0235</t>
        </is>
      </c>
      <c r="H239" s="20" t="inlineStr">
        <is>
          <t>УЧ09281195</t>
        </is>
      </c>
      <c r="I239" s="20" t="inlineStr">
        <is>
          <t>Тийм</t>
        </is>
      </c>
    </row>
    <row r="240">
      <c r="A240" s="19" t="inlineStr">
        <is>
          <t>БОДИТ</t>
        </is>
      </c>
      <c r="B240" s="20" t="inlineStr">
        <is>
          <t>EJ-2627-S0248</t>
        </is>
      </c>
      <c r="C240" s="20" t="inlineStr">
        <is>
          <t>Баатархүү Чингүүн</t>
        </is>
      </c>
      <c r="D240" s="20" t="inlineStr">
        <is>
          <t>EJ-2627-12A</t>
        </is>
      </c>
      <c r="E240" s="20" t="inlineStr">
        <is>
          <t>12а</t>
        </is>
      </c>
      <c r="F240" s="20" t="n">
        <v>12</v>
      </c>
      <c r="G240" s="20" t="inlineStr">
        <is>
          <t>ej26s0246</t>
        </is>
      </c>
      <c r="H240" s="20" t="inlineStr">
        <is>
          <t>уц09282479</t>
        </is>
      </c>
      <c r="I240" s="20" t="inlineStr">
        <is>
          <t>Тийм</t>
        </is>
      </c>
    </row>
    <row r="241">
      <c r="A241" s="19" t="inlineStr">
        <is>
          <t>БОДИТ</t>
        </is>
      </c>
      <c r="B241" s="20" t="inlineStr">
        <is>
          <t>EJ-2627-S0236</t>
        </is>
      </c>
      <c r="C241" s="20" t="inlineStr">
        <is>
          <t>Баянмөнх Азжаргал</t>
        </is>
      </c>
      <c r="D241" s="20" t="inlineStr">
        <is>
          <t>EJ-2627-12A</t>
        </is>
      </c>
      <c r="E241" s="20" t="inlineStr">
        <is>
          <t>12а</t>
        </is>
      </c>
      <c r="F241" s="20" t="n">
        <v>12</v>
      </c>
      <c r="G241" s="20" t="inlineStr">
        <is>
          <t>ej26s0234</t>
        </is>
      </c>
      <c r="H241" s="20" t="inlineStr">
        <is>
          <t>УХ09242259</t>
        </is>
      </c>
      <c r="I241" s="20" t="inlineStr">
        <is>
          <t>Тийм</t>
        </is>
      </c>
    </row>
    <row r="242">
      <c r="A242" s="19" t="inlineStr">
        <is>
          <t>БОДИТ</t>
        </is>
      </c>
      <c r="B242" s="20" t="inlineStr">
        <is>
          <t>EJ-2627-S0241</t>
        </is>
      </c>
      <c r="C242" s="20" t="inlineStr">
        <is>
          <t>Баяртогтох Билгүүн-Очир</t>
        </is>
      </c>
      <c r="D242" s="20" t="inlineStr">
        <is>
          <t>EJ-2627-12A</t>
        </is>
      </c>
      <c r="E242" s="20" t="inlineStr">
        <is>
          <t>12а</t>
        </is>
      </c>
      <c r="F242" s="20" t="n">
        <v>12</v>
      </c>
      <c r="G242" s="20" t="inlineStr">
        <is>
          <t>ej26s0239</t>
        </is>
      </c>
      <c r="H242" s="20" t="inlineStr">
        <is>
          <t>УЛ09230314</t>
        </is>
      </c>
      <c r="I242" s="20" t="inlineStr">
        <is>
          <t>Тийм</t>
        </is>
      </c>
    </row>
    <row r="243">
      <c r="A243" s="19" t="inlineStr">
        <is>
          <t>БОДИТ</t>
        </is>
      </c>
      <c r="B243" s="20" t="inlineStr">
        <is>
          <t>EJ-2627-S0246</t>
        </is>
      </c>
      <c r="C243" s="20" t="inlineStr">
        <is>
          <t>Ганбат Ундрал</t>
        </is>
      </c>
      <c r="D243" s="20" t="inlineStr">
        <is>
          <t>EJ-2627-12A</t>
        </is>
      </c>
      <c r="E243" s="20" t="inlineStr">
        <is>
          <t>12а</t>
        </is>
      </c>
      <c r="F243" s="20" t="n">
        <v>12</v>
      </c>
      <c r="G243" s="20" t="inlineStr">
        <is>
          <t>ej26s0244</t>
        </is>
      </c>
      <c r="H243" s="20" t="inlineStr">
        <is>
          <t>УЗ09301105</t>
        </is>
      </c>
      <c r="I243" s="20" t="inlineStr">
        <is>
          <t>Тийм</t>
        </is>
      </c>
    </row>
    <row r="244">
      <c r="A244" s="19" t="inlineStr">
        <is>
          <t>БОДИТ</t>
        </is>
      </c>
      <c r="B244" s="20" t="inlineStr">
        <is>
          <t>EJ-2627-S0238</t>
        </is>
      </c>
      <c r="C244" s="20" t="inlineStr">
        <is>
          <t>Гантулга Арвинбилэг</t>
        </is>
      </c>
      <c r="D244" s="20" t="inlineStr">
        <is>
          <t>EJ-2627-12A</t>
        </is>
      </c>
      <c r="E244" s="20" t="inlineStr">
        <is>
          <t>12а</t>
        </is>
      </c>
      <c r="F244" s="20" t="n">
        <v>12</v>
      </c>
      <c r="G244" s="20" t="inlineStr">
        <is>
          <t>ej26s0236</t>
        </is>
      </c>
      <c r="H244" s="20" t="inlineStr">
        <is>
          <t>УЖ09291671</t>
        </is>
      </c>
      <c r="I244" s="20" t="inlineStr">
        <is>
          <t>Тийм</t>
        </is>
      </c>
    </row>
    <row r="245">
      <c r="A245" s="19" t="inlineStr">
        <is>
          <t>БОДИТ</t>
        </is>
      </c>
      <c r="B245" s="20" t="inlineStr">
        <is>
          <t>EJ-2627-S0247</t>
        </is>
      </c>
      <c r="C245" s="20" t="inlineStr">
        <is>
          <t>Даваасүрэн Хулан</t>
        </is>
      </c>
      <c r="D245" s="20" t="inlineStr">
        <is>
          <t>EJ-2627-12A</t>
        </is>
      </c>
      <c r="E245" s="20" t="inlineStr">
        <is>
          <t>12а</t>
        </is>
      </c>
      <c r="F245" s="20" t="n">
        <v>12</v>
      </c>
      <c r="G245" s="20" t="inlineStr">
        <is>
          <t>ej26s0245</t>
        </is>
      </c>
      <c r="H245" s="20" t="inlineStr">
        <is>
          <t>уц09221847</t>
        </is>
      </c>
      <c r="I245" s="20" t="inlineStr">
        <is>
          <t>Тийм</t>
        </is>
      </c>
    </row>
    <row r="246">
      <c r="A246" s="19" t="inlineStr">
        <is>
          <t>БОДИТ</t>
        </is>
      </c>
      <c r="B246" s="20" t="inlineStr">
        <is>
          <t>EJ-2627-S0249</t>
        </is>
      </c>
      <c r="C246" s="20" t="inlineStr">
        <is>
          <t>Мөнхбат Эрдэнэбилэг</t>
        </is>
      </c>
      <c r="D246" s="20" t="inlineStr">
        <is>
          <t>EJ-2627-12A</t>
        </is>
      </c>
      <c r="E246" s="20" t="inlineStr">
        <is>
          <t>12а</t>
        </is>
      </c>
      <c r="F246" s="20" t="n">
        <v>12</v>
      </c>
      <c r="G246" s="20" t="inlineStr">
        <is>
          <t>ej26s0247</t>
        </is>
      </c>
      <c r="H246" s="20" t="inlineStr">
        <is>
          <t>УП09302212</t>
        </is>
      </c>
      <c r="I246" s="20" t="inlineStr">
        <is>
          <t>Тийм</t>
        </is>
      </c>
    </row>
    <row r="247">
      <c r="A247" s="19" t="inlineStr">
        <is>
          <t>БОДИТ</t>
        </is>
      </c>
      <c r="B247" s="20" t="inlineStr">
        <is>
          <t>EJ-2627-S0240</t>
        </is>
      </c>
      <c r="C247" s="20" t="inlineStr">
        <is>
          <t>Отгонбаатар Билгүүн</t>
        </is>
      </c>
      <c r="D247" s="20" t="inlineStr">
        <is>
          <t>EJ-2627-12A</t>
        </is>
      </c>
      <c r="E247" s="20" t="inlineStr">
        <is>
          <t>12а</t>
        </is>
      </c>
      <c r="F247" s="20" t="n">
        <v>12</v>
      </c>
      <c r="G247" s="20" t="inlineStr">
        <is>
          <t>ej26s0238</t>
        </is>
      </c>
      <c r="H247" s="20" t="inlineStr">
        <is>
          <t>УЛ09222092</t>
        </is>
      </c>
      <c r="I247" s="20" t="inlineStr">
        <is>
          <t>Тийм</t>
        </is>
      </c>
    </row>
    <row r="248">
      <c r="A248" s="19" t="inlineStr">
        <is>
          <t>БОДИТ</t>
        </is>
      </c>
      <c r="B248" s="20" t="inlineStr">
        <is>
          <t>EJ-2627-S0245</t>
        </is>
      </c>
      <c r="C248" s="20" t="inlineStr">
        <is>
          <t>Хэрлэнзориг Оюунгоо</t>
        </is>
      </c>
      <c r="D248" s="20" t="inlineStr">
        <is>
          <t>EJ-2627-12A</t>
        </is>
      </c>
      <c r="E248" s="20" t="inlineStr">
        <is>
          <t>12а</t>
        </is>
      </c>
      <c r="F248" s="20" t="n">
        <v>12</v>
      </c>
      <c r="G248" s="20" t="inlineStr">
        <is>
          <t>ej26s0243</t>
        </is>
      </c>
      <c r="H248" s="20" t="inlineStr">
        <is>
          <t>ЖЮ09321304</t>
        </is>
      </c>
      <c r="I248" s="20" t="inlineStr">
        <is>
          <t>Тийм</t>
        </is>
      </c>
    </row>
    <row r="249">
      <c r="A249" s="19" t="inlineStr">
        <is>
          <t>БОДИТ</t>
        </is>
      </c>
      <c r="B249" s="20" t="inlineStr">
        <is>
          <t>EJ-2627-S0243</t>
        </is>
      </c>
      <c r="C249" s="20" t="inlineStr">
        <is>
          <t>Цогтсайхан Дэлгэрбаяр</t>
        </is>
      </c>
      <c r="D249" s="20" t="inlineStr">
        <is>
          <t>EJ-2627-12A</t>
        </is>
      </c>
      <c r="E249" s="20" t="inlineStr">
        <is>
          <t>12а</t>
        </is>
      </c>
      <c r="F249" s="20" t="n">
        <v>12</v>
      </c>
      <c r="G249" s="20" t="inlineStr">
        <is>
          <t>ej26s0241</t>
        </is>
      </c>
      <c r="H249" s="20" t="inlineStr">
        <is>
          <t>УЖ09252139</t>
        </is>
      </c>
      <c r="I249" s="20" t="inlineStr">
        <is>
          <t>Тийм</t>
        </is>
      </c>
    </row>
    <row r="250">
      <c r="A250" s="19" t="inlineStr">
        <is>
          <t>БОДИТ</t>
        </is>
      </c>
      <c r="B250" s="20" t="inlineStr">
        <is>
          <t>EJ-2627-S0239</t>
        </is>
      </c>
      <c r="C250" s="20" t="inlineStr">
        <is>
          <t>Шагдаржав Ариунзаяа</t>
        </is>
      </c>
      <c r="D250" s="20" t="inlineStr">
        <is>
          <t>EJ-2627-12A</t>
        </is>
      </c>
      <c r="E250" s="20" t="inlineStr">
        <is>
          <t>12а</t>
        </is>
      </c>
      <c r="F250" s="20" t="n">
        <v>12</v>
      </c>
      <c r="G250" s="20" t="inlineStr">
        <is>
          <t>ej26s0237</t>
        </is>
      </c>
      <c r="H250" s="20" t="inlineStr">
        <is>
          <t>СЮ09220588</t>
        </is>
      </c>
      <c r="I250" s="20" t="inlineStr">
        <is>
          <t>Тийм</t>
        </is>
      </c>
    </row>
    <row r="251">
      <c r="A251" s="19" t="inlineStr">
        <is>
          <t>БОДИТ</t>
        </is>
      </c>
      <c r="B251" s="20" t="inlineStr">
        <is>
          <t>EJ-2627-S0244</t>
        </is>
      </c>
      <c r="C251" s="20" t="inlineStr">
        <is>
          <t>Эрдэнэдорж Маргад</t>
        </is>
      </c>
      <c r="D251" s="20" t="inlineStr">
        <is>
          <t>EJ-2627-12A</t>
        </is>
      </c>
      <c r="E251" s="20" t="inlineStr">
        <is>
          <t>12а</t>
        </is>
      </c>
      <c r="F251" s="20" t="n">
        <v>12</v>
      </c>
      <c r="G251" s="20" t="inlineStr">
        <is>
          <t>ej26s0242</t>
        </is>
      </c>
      <c r="H251" s="20" t="inlineStr">
        <is>
          <t>ЙЮ09212216</t>
        </is>
      </c>
      <c r="I251" s="20" t="inlineStr">
        <is>
          <t>Тийм</t>
        </is>
      </c>
    </row>
    <row r="252">
      <c r="A252" s="19" t="inlineStr">
        <is>
          <t>БОДИТ</t>
        </is>
      </c>
      <c r="B252" s="20" t="inlineStr">
        <is>
          <t>EJ-2627-S0242</t>
        </is>
      </c>
      <c r="C252" s="20" t="inlineStr">
        <is>
          <t>Эрдэнэхүү Ган-Эрдэнэ</t>
        </is>
      </c>
      <c r="D252" s="20" t="inlineStr">
        <is>
          <t>EJ-2627-12A</t>
        </is>
      </c>
      <c r="E252" s="20" t="inlineStr">
        <is>
          <t>12а</t>
        </is>
      </c>
      <c r="F252" s="20" t="n">
        <v>12</v>
      </c>
      <c r="G252" s="20" t="inlineStr">
        <is>
          <t>ej26s0240</t>
        </is>
      </c>
      <c r="H252" s="20" t="inlineStr">
        <is>
          <t>УТ08323136</t>
        </is>
      </c>
      <c r="I252" s="20" t="inlineStr">
        <is>
          <t>Тийм</t>
        </is>
      </c>
    </row>
  </sheetData>
  <autoFilter ref="A5:I252"/>
  <mergeCells count="3">
    <mergeCell ref="A3:H3"/>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2" customWidth="1" min="3" max="3"/>
    <col width="34" customWidth="1" min="4" max="4"/>
    <col width="44" customWidth="1" min="5" max="5"/>
    <col width="12" customWidth="1" min="6" max="6"/>
    <col width="18" customWidth="1" min="7" max="7"/>
    <col width="12" customWidth="1" min="8" max="8"/>
    <col width="8" customWidth="1" min="9" max="9"/>
    <col width="12" customWidth="1" min="10" max="10"/>
    <col width="12" customWidth="1" min="11" max="11"/>
  </cols>
  <sheetData>
    <row r="1">
      <c r="A1" s="16" t="inlineStr">
        <is>
          <t>Сурах бичиг</t>
        </is>
      </c>
    </row>
    <row r="2" ht="44" customHeight="1">
      <c r="A2" s="2" t="inlineStr">
        <is>
          <t>6-р ангийн 11 ном PDF-ээрээ системд орсон. «Сэдвийн тоо» нь «08 Номын сэдэв» хуудаснаас тоологдоно — зөвхөн Математик, Монгол хэл хоёрын задаргаа орсон байна.</t>
        </is>
      </c>
    </row>
    <row r="3">
      <c r="A3" s="22" t="inlineStr">
        <is>
          <t>ЗАРИМ НЬ ОРСОН — дутууг нөхөх шаардлагатай</t>
        </is>
      </c>
    </row>
    <row r="5" ht="32" customHeight="1">
      <c r="A5" s="18" t="inlineStr">
        <is>
          <t>Төлөв</t>
        </is>
      </c>
      <c r="B5" s="18" t="inlineStr">
        <is>
          <t>Номын код</t>
        </is>
      </c>
      <c r="C5" s="18" t="inlineStr">
        <is>
          <t>Хичээл</t>
        </is>
      </c>
      <c r="D5" s="18" t="inlineStr">
        <is>
          <t>Номын нэр</t>
        </is>
      </c>
      <c r="E5" s="18" t="inlineStr">
        <is>
          <t>Зохиогч</t>
        </is>
      </c>
      <c r="F5" s="18" t="inlineStr">
        <is>
          <t>Хэвлэсэн он</t>
        </is>
      </c>
      <c r="G5" s="18" t="inlineStr">
        <is>
          <t>Хэвлэл</t>
        </is>
      </c>
      <c r="H5" s="18" t="inlineStr">
        <is>
          <t>Нийт хуудас</t>
        </is>
      </c>
      <c r="I5" s="18" t="inlineStr">
        <is>
          <t>Анги</t>
        </is>
      </c>
      <c r="J5" s="18" t="inlineStr">
        <is>
          <t>Улирлын тоо</t>
        </is>
      </c>
      <c r="K5" s="18" t="inlineStr">
        <is>
          <t>Сэдвийн тоо</t>
        </is>
      </c>
    </row>
    <row r="6">
      <c r="A6" s="19" t="inlineStr">
        <is>
          <t>БОДИТ</t>
        </is>
      </c>
      <c r="B6" s="20" t="inlineStr">
        <is>
          <t>G06-ART-MN</t>
        </is>
      </c>
      <c r="C6" s="20" t="inlineStr">
        <is>
          <t>Дүрслэх урлаг</t>
        </is>
      </c>
      <c r="D6" s="20" t="inlineStr">
        <is>
          <t>Дүрслэх урлаг VI–VII</t>
        </is>
      </c>
      <c r="E6" s="10" t="inlineStr">
        <is>
          <t>О.Нацагдорж, С.Батчулуун, Б.Баттулга, Г.Мэндээ, Ж.Өнөржаргал, Н.Хүдэрчулуун</t>
        </is>
      </c>
      <c r="F6" s="20" t="n">
        <v>2023</v>
      </c>
      <c r="G6" s="20" t="inlineStr">
        <is>
          <t>Тав дахь хэвлэл</t>
        </is>
      </c>
      <c r="H6" s="20" t="n">
        <v>116</v>
      </c>
      <c r="I6" s="20" t="inlineStr">
        <is>
          <t>6</t>
        </is>
      </c>
      <c r="J6" s="20" t="n"/>
      <c r="K6" s="20">
        <f>COUNTIF('09 Номын сэдэв'!$B$6:$B$108,$B6)</f>
        <v/>
      </c>
    </row>
    <row r="7">
      <c r="A7" s="19" t="inlineStr">
        <is>
          <t>БОДИТ</t>
        </is>
      </c>
      <c r="B7" s="20" t="inlineStr">
        <is>
          <t>G06-DTECH-MN</t>
        </is>
      </c>
      <c r="C7" s="20" t="inlineStr">
        <is>
          <t>Дизайн технологи</t>
        </is>
      </c>
      <c r="D7" s="20" t="inlineStr">
        <is>
          <t>Дизайн технологи VI</t>
        </is>
      </c>
      <c r="E7" s="10" t="inlineStr">
        <is>
          <t>А.Алтантуул, Ч.Алтанчимэг, М.Баасанбаяр, В.Баяржаргал, Р.Гоцбаяр, С.Нямсүрэн, Д.Сэрээтэрдорж, Г.Чулуун</t>
        </is>
      </c>
      <c r="F7" s="20" t="n">
        <v>2023</v>
      </c>
      <c r="G7" s="20" t="inlineStr">
        <is>
          <t>Тав дахь хэвлэл</t>
        </is>
      </c>
      <c r="H7" s="20" t="n">
        <v>108</v>
      </c>
      <c r="I7" s="20" t="inlineStr">
        <is>
          <t>6</t>
        </is>
      </c>
      <c r="J7" s="20" t="n"/>
      <c r="K7" s="20">
        <f>COUNTIF('09 Номын сэдэв'!$B$6:$B$108,$B7)</f>
        <v/>
      </c>
    </row>
    <row r="8">
      <c r="A8" s="19" t="inlineStr">
        <is>
          <t>БОДИТ</t>
        </is>
      </c>
      <c r="B8" s="20" t="inlineStr">
        <is>
          <t>G06-ETHICS-MN</t>
        </is>
      </c>
      <c r="C8" s="20" t="inlineStr">
        <is>
          <t>Иргэний ёс зүйн боловсрол</t>
        </is>
      </c>
      <c r="D8" s="20" t="inlineStr">
        <is>
          <t>Иргэний ёс зүйн боловсрол VI</t>
        </is>
      </c>
      <c r="E8" s="20" t="inlineStr">
        <is>
          <t>Б.Цасанчимэг, Ө.Цэндсүрэн, Ж.Гэрэлмаа</t>
        </is>
      </c>
      <c r="F8" s="20" t="n">
        <v>2023</v>
      </c>
      <c r="G8" s="20" t="inlineStr">
        <is>
          <t>Хоёр дахь хэвлэл</t>
        </is>
      </c>
      <c r="H8" s="20" t="n">
        <v>88</v>
      </c>
      <c r="I8" s="20" t="inlineStr">
        <is>
          <t>6</t>
        </is>
      </c>
      <c r="J8" s="20" t="n"/>
      <c r="K8" s="20">
        <f>COUNTIF('09 Номын сэдэв'!$B$6:$B$108,$B8)</f>
        <v/>
      </c>
    </row>
    <row r="9">
      <c r="A9" s="19" t="inlineStr">
        <is>
          <t>БОДИТ</t>
        </is>
      </c>
      <c r="B9" s="20" t="inlineStr">
        <is>
          <t>G06-HIST-MN</t>
        </is>
      </c>
      <c r="C9" s="20" t="inlineStr">
        <is>
          <t>Түүх</t>
        </is>
      </c>
      <c r="D9" s="20" t="inlineStr">
        <is>
          <t>Түүх VI</t>
        </is>
      </c>
      <c r="E9" s="10" t="inlineStr">
        <is>
          <t>П.Дэлгэржаргал, У.Туяа, Б.Чинзориг, Д.Янжинжав</t>
        </is>
      </c>
      <c r="F9" s="20" t="n">
        <v>2023</v>
      </c>
      <c r="G9" s="20" t="inlineStr">
        <is>
          <t>Долоо дахь хэвлэл</t>
        </is>
      </c>
      <c r="H9" s="20" t="n">
        <v>84</v>
      </c>
      <c r="I9" s="20" t="inlineStr">
        <is>
          <t>6</t>
        </is>
      </c>
      <c r="J9" s="20" t="n"/>
      <c r="K9" s="20">
        <f>COUNTIF('09 Номын сэдэв'!$B$6:$B$108,$B9)</f>
        <v/>
      </c>
    </row>
    <row r="10">
      <c r="A10" s="19" t="inlineStr">
        <is>
          <t>БОДИТ</t>
        </is>
      </c>
      <c r="B10" s="20" t="inlineStr">
        <is>
          <t>G06-ICT-MN</t>
        </is>
      </c>
      <c r="C10" s="20" t="inlineStr">
        <is>
          <t>Мэдээллийн технологи</t>
        </is>
      </c>
      <c r="D10" s="20" t="inlineStr">
        <is>
          <t>Мэдээллийн технологи VI</t>
        </is>
      </c>
      <c r="E10" s="10" t="inlineStr">
        <is>
          <t>Д.Цэдэвсүрэн, С.Уянга, Л.Мөнхтуяа, Э.Оюунбилэг, Ш.Отгонцэцэг, П.Дэлгэржав</t>
        </is>
      </c>
      <c r="F10" s="20" t="n">
        <v>2023</v>
      </c>
      <c r="G10" s="20" t="inlineStr">
        <is>
          <t>Долоо дахь хэвлэл</t>
        </is>
      </c>
      <c r="H10" s="20" t="n">
        <v>56</v>
      </c>
      <c r="I10" s="20" t="inlineStr">
        <is>
          <t>6</t>
        </is>
      </c>
      <c r="J10" s="20" t="n"/>
      <c r="K10" s="20">
        <f>COUNTIF('09 Номын сэдэв'!$B$6:$B$108,$B10)</f>
        <v/>
      </c>
    </row>
    <row r="11">
      <c r="A11" s="19" t="inlineStr">
        <is>
          <t>БОДИТ</t>
        </is>
      </c>
      <c r="B11" s="20" t="inlineStr">
        <is>
          <t>G06-LIT-MN</t>
        </is>
      </c>
      <c r="C11" s="20" t="inlineStr">
        <is>
          <t>Уран зохиол</t>
        </is>
      </c>
      <c r="D11" s="20" t="inlineStr">
        <is>
          <t>Уран зохиол VI</t>
        </is>
      </c>
      <c r="E11" s="10" t="inlineStr">
        <is>
          <t>П.Одсүрэн, С.Амарсайхан, Ч.Жачин, Т.Мөнхнаран, Г.Нандинбилиг, Д.Цогзолмаа</t>
        </is>
      </c>
      <c r="F11" s="20" t="n">
        <v>2023</v>
      </c>
      <c r="G11" s="20" t="inlineStr">
        <is>
          <t>Долоо дахь хэвлэл</t>
        </is>
      </c>
      <c r="H11" s="20" t="n">
        <v>96</v>
      </c>
      <c r="I11" s="20" t="inlineStr">
        <is>
          <t>6</t>
        </is>
      </c>
      <c r="J11" s="20" t="n"/>
      <c r="K11" s="20">
        <f>COUNTIF('09 Номын сэдэв'!$B$6:$B$108,$B11)</f>
        <v/>
      </c>
    </row>
    <row r="12">
      <c r="A12" s="19" t="inlineStr">
        <is>
          <t>БОДИТ</t>
        </is>
      </c>
      <c r="B12" s="20" t="inlineStr">
        <is>
          <t>G06-MATH-MN</t>
        </is>
      </c>
      <c r="C12" s="20" t="inlineStr">
        <is>
          <t>Математик</t>
        </is>
      </c>
      <c r="D12" s="20" t="inlineStr">
        <is>
          <t>Математик VI</t>
        </is>
      </c>
      <c r="E12" s="10" t="inlineStr">
        <is>
          <t>Д.Түвшинжаргал, Ж.Батболд, Д.Даваасүрэн, Э.Чойсүрэн, Т.Батчимэг, Н.Баянбилэг, Н.Гэндэнсүрэн, Б.Равданжамц, Н.Цогзолмаа, Б.Энхболд, Д.Энхцэцэг, Б.Эрдэн</t>
        </is>
      </c>
      <c r="F12" s="20" t="n">
        <v>2022</v>
      </c>
      <c r="G12" s="20" t="inlineStr">
        <is>
          <t>Долоо дахь хэвлэл</t>
        </is>
      </c>
      <c r="H12" s="20" t="n">
        <v>168</v>
      </c>
      <c r="I12" s="20" t="inlineStr">
        <is>
          <t>6</t>
        </is>
      </c>
      <c r="J12" s="20" t="n">
        <v>3</v>
      </c>
      <c r="K12" s="20">
        <f>COUNTIF('09 Номын сэдэв'!$B$6:$B$108,$B12)</f>
        <v/>
      </c>
    </row>
    <row r="13">
      <c r="A13" s="19" t="inlineStr">
        <is>
          <t>БОДИТ</t>
        </is>
      </c>
      <c r="B13" s="20" t="inlineStr">
        <is>
          <t>G06-MGL-MN</t>
        </is>
      </c>
      <c r="C13" s="20" t="inlineStr">
        <is>
          <t>Монгол хэл</t>
        </is>
      </c>
      <c r="D13" s="20" t="inlineStr">
        <is>
          <t>Монгол хэл VI</t>
        </is>
      </c>
      <c r="E13" s="10" t="inlineStr">
        <is>
          <t>Ш.Оюунцэцэг, Б.Мөнгөнцэцэг, Л.Олзвой, Ц.Оюун, Ц.Туул</t>
        </is>
      </c>
      <c r="F13" s="20" t="n">
        <v>2023</v>
      </c>
      <c r="G13" s="20" t="inlineStr">
        <is>
          <t>Долоо дахь хэвлэл</t>
        </is>
      </c>
      <c r="H13" s="20" t="n">
        <v>152</v>
      </c>
      <c r="I13" s="20" t="inlineStr">
        <is>
          <t>6</t>
        </is>
      </c>
      <c r="J13" s="20" t="n">
        <v>3</v>
      </c>
      <c r="K13" s="20">
        <f>COUNTIF('09 Номын сэдэв'!$B$6:$B$108,$B13)</f>
        <v/>
      </c>
    </row>
    <row r="14">
      <c r="A14" s="19" t="inlineStr">
        <is>
          <t>БОДИТ</t>
        </is>
      </c>
      <c r="B14" s="20" t="inlineStr">
        <is>
          <t>G06-SCI-OXFORD</t>
        </is>
      </c>
      <c r="C14" s="20" t="inlineStr">
        <is>
          <t>Байгалийн ухаан</t>
        </is>
      </c>
      <c r="D14" s="20" t="inlineStr">
        <is>
          <t>Oxford International Primary Science 6</t>
        </is>
      </c>
      <c r="E14" s="20" t="n"/>
      <c r="F14" s="20" t="n"/>
      <c r="G14" s="20" t="n"/>
      <c r="H14" s="20" t="n">
        <v>153</v>
      </c>
      <c r="I14" s="20" t="inlineStr">
        <is>
          <t>6</t>
        </is>
      </c>
      <c r="J14" s="20" t="n"/>
      <c r="K14" s="20">
        <f>COUNTIF('09 Номын сэдэв'!$B$6:$B$108,$B14)</f>
        <v/>
      </c>
    </row>
    <row r="15">
      <c r="A15" s="19" t="inlineStr">
        <is>
          <t>БОДИТ</t>
        </is>
      </c>
      <c r="B15" s="20" t="inlineStr">
        <is>
          <t>G06-SCI-MN</t>
        </is>
      </c>
      <c r="C15" s="20" t="inlineStr">
        <is>
          <t>Байгалийн ухаан</t>
        </is>
      </c>
      <c r="D15" s="20" t="inlineStr">
        <is>
          <t>Байгалийн ухаан VI</t>
        </is>
      </c>
      <c r="E15" s="10" t="inlineStr">
        <is>
          <t>С.Гэндэнжамц, Д.Батболд, Ц.Амартайван, Ж.Дөлгөөн, Б.Бадам, А.Энхтогтох, С.Цогбадрах, Х.Тэрбиш, М.Мөнхбаатар, Г.Баярмаа, Д.Сарангэрэл, Н.Оюунцэцэг, Н.Н</t>
        </is>
      </c>
      <c r="F15" s="20" t="n">
        <v>2023</v>
      </c>
      <c r="G15" s="20" t="inlineStr">
        <is>
          <t>Долоо дахь хэвлэл</t>
        </is>
      </c>
      <c r="H15" s="20" t="n">
        <v>136</v>
      </c>
      <c r="I15" s="20" t="inlineStr">
        <is>
          <t>6</t>
        </is>
      </c>
      <c r="J15" s="20" t="n"/>
      <c r="K15" s="20">
        <f>COUNTIF('09 Номын сэдэв'!$B$6:$B$108,$B15)</f>
        <v/>
      </c>
    </row>
    <row r="16">
      <c r="A16" s="19" t="inlineStr">
        <is>
          <t>БОДИТ</t>
        </is>
      </c>
      <c r="B16" s="20" t="inlineStr">
        <is>
          <t>G06-SCRIPT-MN</t>
        </is>
      </c>
      <c r="C16" s="20" t="inlineStr">
        <is>
          <t>Үндэсний бичиг</t>
        </is>
      </c>
      <c r="D16" s="20" t="inlineStr">
        <is>
          <t>Үндэсний бичиг VI</t>
        </is>
      </c>
      <c r="E16" s="10" t="inlineStr">
        <is>
          <t>Ш.Чоймаа, Д.Хишигсүрэн, Д.Эрдэнэсанаа, Л.Жумдаан, Р.Өлзийхүү, Н.Золжаргал, Э.Эрдэнэзуу</t>
        </is>
      </c>
      <c r="F16" s="20" t="n">
        <v>2023</v>
      </c>
      <c r="G16" s="20" t="inlineStr">
        <is>
          <t>Долоо дахь хэвлэл</t>
        </is>
      </c>
      <c r="H16" s="20" t="n">
        <v>96</v>
      </c>
      <c r="I16" s="20" t="inlineStr">
        <is>
          <t>6</t>
        </is>
      </c>
      <c r="J16" s="20" t="n"/>
      <c r="K16" s="20">
        <f>COUNTIF('09 Номын сэдэв'!$B$6:$B$108,$B16)</f>
        <v/>
      </c>
    </row>
    <row r="18" ht="30" customHeight="1">
      <c r="A18" s="15" t="inlineStr">
        <is>
          <t>Улирлын тоо = 3. Сургууль 4 улиралтай ч агуулгыг эхний 3-т багтаадаг; 4 дэх нь давтлага, шалгалт.</t>
        </is>
      </c>
    </row>
  </sheetData>
  <autoFilter ref="A5:K16"/>
  <mergeCells count="4">
    <mergeCell ref="A18:H18"/>
    <mergeCell ref="A3:H3"/>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6"/>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6" customWidth="1" min="3" max="3"/>
    <col width="10" customWidth="1" min="4" max="4"/>
    <col width="26" customWidth="1" min="5" max="5"/>
    <col width="18" customWidth="1" min="6" max="6"/>
    <col width="34" customWidth="1" min="7" max="7"/>
    <col width="36" customWidth="1" min="8" max="8"/>
  </cols>
  <sheetData>
    <row r="1">
      <c r="A1" s="16" t="inlineStr">
        <is>
          <t>Анги ↔ хичээл ↔ үндсэн ном</t>
        </is>
      </c>
    </row>
    <row r="2" ht="44" customHeight="1">
      <c r="A2" s="2" t="inlineStr">
        <is>
          <t>Анги бүр ямар хичээл үзэх, аль номоор үзэхийг заана. 6а ангийн 10 хичээл бодит номтой. Бусад 13 ангийн мөрүүд улсын хөтөлбөрөөс түр бөглөгдсөн — сургууль баталгаажуулах ёстой.</t>
        </is>
      </c>
    </row>
    <row r="3">
      <c r="A3" s="22" t="inlineStr">
        <is>
          <t>ЗАРИМ НЬ ОРСОН — дутууг нөхөх шаардлагатай</t>
        </is>
      </c>
    </row>
    <row r="5" ht="32" customHeight="1">
      <c r="A5" s="18" t="inlineStr">
        <is>
          <t>Төлөв</t>
        </is>
      </c>
      <c r="B5" s="18" t="inlineStr">
        <is>
          <t>Ангийн код</t>
        </is>
      </c>
      <c r="C5" s="18" t="inlineStr">
        <is>
          <t>Хичээлийн код</t>
        </is>
      </c>
      <c r="D5" s="18" t="inlineStr">
        <is>
          <t>Анги</t>
        </is>
      </c>
      <c r="E5" s="18" t="inlineStr">
        <is>
          <t>Хичээл</t>
        </is>
      </c>
      <c r="F5" s="18" t="inlineStr">
        <is>
          <t>Номын код</t>
        </is>
      </c>
      <c r="G5" s="18" t="inlineStr">
        <is>
          <t>Номын нэр</t>
        </is>
      </c>
      <c r="H5" s="18" t="inlineStr">
        <is>
          <t>Эх сурвалж</t>
        </is>
      </c>
    </row>
    <row r="6">
      <c r="A6" s="19" t="inlineStr">
        <is>
          <t>БОДИТ</t>
        </is>
      </c>
      <c r="B6" s="20" t="inlineStr">
        <is>
          <t>EJ-2627-1A</t>
        </is>
      </c>
      <c r="C6" s="20" t="inlineStr">
        <is>
          <t>ART</t>
        </is>
      </c>
      <c r="D6" s="20" t="inlineStr">
        <is>
          <t>1а</t>
        </is>
      </c>
      <c r="E6" s="20" t="inlineStr">
        <is>
          <t>Дүрслэх урлаг</t>
        </is>
      </c>
      <c r="F6" s="20" t="n"/>
      <c r="G6" s="20" t="n"/>
      <c r="H6" s="20" t="inlineStr">
        <is>
          <t>Улсын хөтөлбөрөөс түр (батлагдаагүй)</t>
        </is>
      </c>
    </row>
    <row r="7">
      <c r="A7" s="19" t="inlineStr">
        <is>
          <t>БОДИТ</t>
        </is>
      </c>
      <c r="B7" s="20" t="inlineStr">
        <is>
          <t>EJ-2627-1A</t>
        </is>
      </c>
      <c r="C7" s="20" t="inlineStr">
        <is>
          <t>DTECH</t>
        </is>
      </c>
      <c r="D7" s="20" t="inlineStr">
        <is>
          <t>1а</t>
        </is>
      </c>
      <c r="E7" s="20" t="inlineStr">
        <is>
          <t>Дизайн технологи</t>
        </is>
      </c>
      <c r="F7" s="20" t="n"/>
      <c r="G7" s="20" t="n"/>
      <c r="H7" s="20" t="inlineStr">
        <is>
          <t>Улсын хөтөлбөрөөс түр (батлагдаагүй)</t>
        </is>
      </c>
    </row>
    <row r="8">
      <c r="A8" s="19" t="inlineStr">
        <is>
          <t>БОДИТ</t>
        </is>
      </c>
      <c r="B8" s="20" t="inlineStr">
        <is>
          <t>EJ-2627-1A</t>
        </is>
      </c>
      <c r="C8" s="20" t="inlineStr">
        <is>
          <t>MATH</t>
        </is>
      </c>
      <c r="D8" s="20" t="inlineStr">
        <is>
          <t>1а</t>
        </is>
      </c>
      <c r="E8" s="20" t="inlineStr">
        <is>
          <t>Математик</t>
        </is>
      </c>
      <c r="F8" s="20" t="n"/>
      <c r="G8" s="20" t="n"/>
      <c r="H8" s="20" t="inlineStr">
        <is>
          <t>Улсын хөтөлбөрөөс түр (батлагдаагүй)</t>
        </is>
      </c>
    </row>
    <row r="9">
      <c r="A9" s="19" t="inlineStr">
        <is>
          <t>БОДИТ</t>
        </is>
      </c>
      <c r="B9" s="20" t="inlineStr">
        <is>
          <t>EJ-2627-1A</t>
        </is>
      </c>
      <c r="C9" s="20" t="inlineStr">
        <is>
          <t>MGL</t>
        </is>
      </c>
      <c r="D9" s="20" t="inlineStr">
        <is>
          <t>1а</t>
        </is>
      </c>
      <c r="E9" s="20" t="inlineStr">
        <is>
          <t>Монгол хэл</t>
        </is>
      </c>
      <c r="F9" s="20" t="n"/>
      <c r="G9" s="20" t="n"/>
      <c r="H9" s="20" t="inlineStr">
        <is>
          <t>Улсын хөтөлбөрөөс түр (батлагдаагүй)</t>
        </is>
      </c>
    </row>
    <row r="10">
      <c r="A10" s="19" t="inlineStr">
        <is>
          <t>БОДИТ</t>
        </is>
      </c>
      <c r="B10" s="20" t="inlineStr">
        <is>
          <t>EJ-2627-2A</t>
        </is>
      </c>
      <c r="C10" s="20" t="inlineStr">
        <is>
          <t>ART</t>
        </is>
      </c>
      <c r="D10" s="20" t="inlineStr">
        <is>
          <t>2а</t>
        </is>
      </c>
      <c r="E10" s="20" t="inlineStr">
        <is>
          <t>Дүрслэх урлаг</t>
        </is>
      </c>
      <c r="F10" s="20" t="n"/>
      <c r="G10" s="20" t="n"/>
      <c r="H10" s="20" t="inlineStr">
        <is>
          <t>Улсын хөтөлбөрөөс түр (батлагдаагүй)</t>
        </is>
      </c>
    </row>
    <row r="11">
      <c r="A11" s="19" t="inlineStr">
        <is>
          <t>БОДИТ</t>
        </is>
      </c>
      <c r="B11" s="20" t="inlineStr">
        <is>
          <t>EJ-2627-2A</t>
        </is>
      </c>
      <c r="C11" s="20" t="inlineStr">
        <is>
          <t>DTECH</t>
        </is>
      </c>
      <c r="D11" s="20" t="inlineStr">
        <is>
          <t>2а</t>
        </is>
      </c>
      <c r="E11" s="20" t="inlineStr">
        <is>
          <t>Дизайн технологи</t>
        </is>
      </c>
      <c r="F11" s="20" t="n"/>
      <c r="G11" s="20" t="n"/>
      <c r="H11" s="20" t="inlineStr">
        <is>
          <t>Улсын хөтөлбөрөөс түр (батлагдаагүй)</t>
        </is>
      </c>
    </row>
    <row r="12">
      <c r="A12" s="19" t="inlineStr">
        <is>
          <t>БОДИТ</t>
        </is>
      </c>
      <c r="B12" s="20" t="inlineStr">
        <is>
          <t>EJ-2627-2A</t>
        </is>
      </c>
      <c r="C12" s="20" t="inlineStr">
        <is>
          <t>MATH</t>
        </is>
      </c>
      <c r="D12" s="20" t="inlineStr">
        <is>
          <t>2а</t>
        </is>
      </c>
      <c r="E12" s="20" t="inlineStr">
        <is>
          <t>Математик</t>
        </is>
      </c>
      <c r="F12" s="20" t="n"/>
      <c r="G12" s="20" t="n"/>
      <c r="H12" s="20" t="inlineStr">
        <is>
          <t>Улсын хөтөлбөрөөс түр (батлагдаагүй)</t>
        </is>
      </c>
    </row>
    <row r="13">
      <c r="A13" s="19" t="inlineStr">
        <is>
          <t>БОДИТ</t>
        </is>
      </c>
      <c r="B13" s="20" t="inlineStr">
        <is>
          <t>EJ-2627-2A</t>
        </is>
      </c>
      <c r="C13" s="20" t="inlineStr">
        <is>
          <t>MGL</t>
        </is>
      </c>
      <c r="D13" s="20" t="inlineStr">
        <is>
          <t>2а</t>
        </is>
      </c>
      <c r="E13" s="20" t="inlineStr">
        <is>
          <t>Монгол хэл</t>
        </is>
      </c>
      <c r="F13" s="20" t="n"/>
      <c r="G13" s="20" t="n"/>
      <c r="H13" s="20" t="inlineStr">
        <is>
          <t>Улсын хөтөлбөрөөс түр (батлагдаагүй)</t>
        </is>
      </c>
    </row>
    <row r="14">
      <c r="A14" s="19" t="inlineStr">
        <is>
          <t>БОДИТ</t>
        </is>
      </c>
      <c r="B14" s="20" t="inlineStr">
        <is>
          <t>EJ-2627-3A</t>
        </is>
      </c>
      <c r="C14" s="20" t="inlineStr">
        <is>
          <t>ART</t>
        </is>
      </c>
      <c r="D14" s="20" t="inlineStr">
        <is>
          <t>3а</t>
        </is>
      </c>
      <c r="E14" s="20" t="inlineStr">
        <is>
          <t>Дүрслэх урлаг</t>
        </is>
      </c>
      <c r="F14" s="20" t="n"/>
      <c r="G14" s="20" t="n"/>
      <c r="H14" s="20" t="inlineStr">
        <is>
          <t>Улсын хөтөлбөрөөс түр (батлагдаагүй)</t>
        </is>
      </c>
    </row>
    <row r="15">
      <c r="A15" s="19" t="inlineStr">
        <is>
          <t>БОДИТ</t>
        </is>
      </c>
      <c r="B15" s="20" t="inlineStr">
        <is>
          <t>EJ-2627-3A</t>
        </is>
      </c>
      <c r="C15" s="20" t="inlineStr">
        <is>
          <t>DTECH</t>
        </is>
      </c>
      <c r="D15" s="20" t="inlineStr">
        <is>
          <t>3а</t>
        </is>
      </c>
      <c r="E15" s="20" t="inlineStr">
        <is>
          <t>Дизайн технологи</t>
        </is>
      </c>
      <c r="F15" s="20" t="n"/>
      <c r="G15" s="20" t="n"/>
      <c r="H15" s="20" t="inlineStr">
        <is>
          <t>Улсын хөтөлбөрөөс түр (батлагдаагүй)</t>
        </is>
      </c>
    </row>
    <row r="16">
      <c r="A16" s="19" t="inlineStr">
        <is>
          <t>БОДИТ</t>
        </is>
      </c>
      <c r="B16" s="20" t="inlineStr">
        <is>
          <t>EJ-2627-3A</t>
        </is>
      </c>
      <c r="C16" s="20" t="inlineStr">
        <is>
          <t>ENG</t>
        </is>
      </c>
      <c r="D16" s="20" t="inlineStr">
        <is>
          <t>3а</t>
        </is>
      </c>
      <c r="E16" s="20" t="inlineStr">
        <is>
          <t>Англи хэл</t>
        </is>
      </c>
      <c r="F16" s="20" t="n"/>
      <c r="G16" s="20" t="n"/>
      <c r="H16" s="20" t="inlineStr">
        <is>
          <t>Улсын хөтөлбөрөөс түр (батлагдаагүй)</t>
        </is>
      </c>
    </row>
    <row r="17">
      <c r="A17" s="19" t="inlineStr">
        <is>
          <t>БОДИТ</t>
        </is>
      </c>
      <c r="B17" s="20" t="inlineStr">
        <is>
          <t>EJ-2627-3A</t>
        </is>
      </c>
      <c r="C17" s="20" t="inlineStr">
        <is>
          <t>MATH</t>
        </is>
      </c>
      <c r="D17" s="20" t="inlineStr">
        <is>
          <t>3а</t>
        </is>
      </c>
      <c r="E17" s="20" t="inlineStr">
        <is>
          <t>Математик</t>
        </is>
      </c>
      <c r="F17" s="20" t="n"/>
      <c r="G17" s="20" t="n"/>
      <c r="H17" s="20" t="inlineStr">
        <is>
          <t>Улсын хөтөлбөрөөс түр (батлагдаагүй)</t>
        </is>
      </c>
    </row>
    <row r="18">
      <c r="A18" s="19" t="inlineStr">
        <is>
          <t>БОДИТ</t>
        </is>
      </c>
      <c r="B18" s="20" t="inlineStr">
        <is>
          <t>EJ-2627-3A</t>
        </is>
      </c>
      <c r="C18" s="20" t="inlineStr">
        <is>
          <t>MGL</t>
        </is>
      </c>
      <c r="D18" s="20" t="inlineStr">
        <is>
          <t>3а</t>
        </is>
      </c>
      <c r="E18" s="20" t="inlineStr">
        <is>
          <t>Монгол хэл</t>
        </is>
      </c>
      <c r="F18" s="20" t="n"/>
      <c r="G18" s="20" t="n"/>
      <c r="H18" s="20" t="inlineStr">
        <is>
          <t>Улсын хөтөлбөрөөс түр (батлагдаагүй)</t>
        </is>
      </c>
    </row>
    <row r="19">
      <c r="A19" s="19" t="inlineStr">
        <is>
          <t>БОДИТ</t>
        </is>
      </c>
      <c r="B19" s="20" t="inlineStr">
        <is>
          <t>EJ-2627-3A</t>
        </is>
      </c>
      <c r="C19" s="20" t="inlineStr">
        <is>
          <t>SCI</t>
        </is>
      </c>
      <c r="D19" s="20" t="inlineStr">
        <is>
          <t>3а</t>
        </is>
      </c>
      <c r="E19" s="20" t="inlineStr">
        <is>
          <t>Байгалийн ухаан</t>
        </is>
      </c>
      <c r="F19" s="20" t="n"/>
      <c r="G19" s="20" t="n"/>
      <c r="H19" s="20" t="inlineStr">
        <is>
          <t>Улсын хөтөлбөрөөс түр (батлагдаагүй)</t>
        </is>
      </c>
    </row>
    <row r="20">
      <c r="A20" s="19" t="inlineStr">
        <is>
          <t>БОДИТ</t>
        </is>
      </c>
      <c r="B20" s="20" t="inlineStr">
        <is>
          <t>EJ-2627-4A</t>
        </is>
      </c>
      <c r="C20" s="20" t="inlineStr">
        <is>
          <t>ART</t>
        </is>
      </c>
      <c r="D20" s="20" t="inlineStr">
        <is>
          <t>4а</t>
        </is>
      </c>
      <c r="E20" s="20" t="inlineStr">
        <is>
          <t>Дүрслэх урлаг</t>
        </is>
      </c>
      <c r="F20" s="20" t="n"/>
      <c r="G20" s="20" t="n"/>
      <c r="H20" s="20" t="inlineStr">
        <is>
          <t>Улсын хөтөлбөрөөс түр (батлагдаагүй)</t>
        </is>
      </c>
    </row>
    <row r="21">
      <c r="A21" s="19" t="inlineStr">
        <is>
          <t>БОДИТ</t>
        </is>
      </c>
      <c r="B21" s="20" t="inlineStr">
        <is>
          <t>EJ-2627-4A</t>
        </is>
      </c>
      <c r="C21" s="20" t="inlineStr">
        <is>
          <t>DTECH</t>
        </is>
      </c>
      <c r="D21" s="20" t="inlineStr">
        <is>
          <t>4а</t>
        </is>
      </c>
      <c r="E21" s="20" t="inlineStr">
        <is>
          <t>Дизайн технологи</t>
        </is>
      </c>
      <c r="F21" s="20" t="n"/>
      <c r="G21" s="20" t="n"/>
      <c r="H21" s="20" t="inlineStr">
        <is>
          <t>Улсын хөтөлбөрөөс түр (батлагдаагүй)</t>
        </is>
      </c>
    </row>
    <row r="22">
      <c r="A22" s="19" t="inlineStr">
        <is>
          <t>БОДИТ</t>
        </is>
      </c>
      <c r="B22" s="20" t="inlineStr">
        <is>
          <t>EJ-2627-4A</t>
        </is>
      </c>
      <c r="C22" s="20" t="inlineStr">
        <is>
          <t>ENG</t>
        </is>
      </c>
      <c r="D22" s="20" t="inlineStr">
        <is>
          <t>4а</t>
        </is>
      </c>
      <c r="E22" s="20" t="inlineStr">
        <is>
          <t>Англи хэл</t>
        </is>
      </c>
      <c r="F22" s="20" t="n"/>
      <c r="G22" s="20" t="n"/>
      <c r="H22" s="20" t="inlineStr">
        <is>
          <t>Улсын хөтөлбөрөөс түр (батлагдаагүй)</t>
        </is>
      </c>
    </row>
    <row r="23">
      <c r="A23" s="19" t="inlineStr">
        <is>
          <t>БОДИТ</t>
        </is>
      </c>
      <c r="B23" s="20" t="inlineStr">
        <is>
          <t>EJ-2627-4A</t>
        </is>
      </c>
      <c r="C23" s="20" t="inlineStr">
        <is>
          <t>MATH</t>
        </is>
      </c>
      <c r="D23" s="20" t="inlineStr">
        <is>
          <t>4а</t>
        </is>
      </c>
      <c r="E23" s="20" t="inlineStr">
        <is>
          <t>Математик</t>
        </is>
      </c>
      <c r="F23" s="20" t="n"/>
      <c r="G23" s="20" t="n"/>
      <c r="H23" s="20" t="inlineStr">
        <is>
          <t>Улсын хөтөлбөрөөс түр (батлагдаагүй)</t>
        </is>
      </c>
    </row>
    <row r="24">
      <c r="A24" s="19" t="inlineStr">
        <is>
          <t>БОДИТ</t>
        </is>
      </c>
      <c r="B24" s="20" t="inlineStr">
        <is>
          <t>EJ-2627-4A</t>
        </is>
      </c>
      <c r="C24" s="20" t="inlineStr">
        <is>
          <t>MGL</t>
        </is>
      </c>
      <c r="D24" s="20" t="inlineStr">
        <is>
          <t>4а</t>
        </is>
      </c>
      <c r="E24" s="20" t="inlineStr">
        <is>
          <t>Монгол хэл</t>
        </is>
      </c>
      <c r="F24" s="20" t="n"/>
      <c r="G24" s="20" t="n"/>
      <c r="H24" s="20" t="inlineStr">
        <is>
          <t>Улсын хөтөлбөрөөс түр (батлагдаагүй)</t>
        </is>
      </c>
    </row>
    <row r="25">
      <c r="A25" s="19" t="inlineStr">
        <is>
          <t>БОДИТ</t>
        </is>
      </c>
      <c r="B25" s="20" t="inlineStr">
        <is>
          <t>EJ-2627-4A</t>
        </is>
      </c>
      <c r="C25" s="20" t="inlineStr">
        <is>
          <t>SCI</t>
        </is>
      </c>
      <c r="D25" s="20" t="inlineStr">
        <is>
          <t>4а</t>
        </is>
      </c>
      <c r="E25" s="20" t="inlineStr">
        <is>
          <t>Байгалийн ухаан</t>
        </is>
      </c>
      <c r="F25" s="20" t="n"/>
      <c r="G25" s="20" t="n"/>
      <c r="H25" s="20" t="inlineStr">
        <is>
          <t>Улсын хөтөлбөрөөс түр (батлагдаагүй)</t>
        </is>
      </c>
    </row>
    <row r="26">
      <c r="A26" s="19" t="inlineStr">
        <is>
          <t>БОДИТ</t>
        </is>
      </c>
      <c r="B26" s="20" t="inlineStr">
        <is>
          <t>EJ-2627-5A</t>
        </is>
      </c>
      <c r="C26" s="20" t="inlineStr">
        <is>
          <t>ART</t>
        </is>
      </c>
      <c r="D26" s="20" t="inlineStr">
        <is>
          <t>5а</t>
        </is>
      </c>
      <c r="E26" s="20" t="inlineStr">
        <is>
          <t>Дүрслэх урлаг</t>
        </is>
      </c>
      <c r="F26" s="20" t="n"/>
      <c r="G26" s="20" t="n"/>
      <c r="H26" s="20" t="inlineStr">
        <is>
          <t>Улсын хөтөлбөрөөс түр (батлагдаагүй)</t>
        </is>
      </c>
    </row>
    <row r="27">
      <c r="A27" s="19" t="inlineStr">
        <is>
          <t>БОДИТ</t>
        </is>
      </c>
      <c r="B27" s="20" t="inlineStr">
        <is>
          <t>EJ-2627-5A</t>
        </is>
      </c>
      <c r="C27" s="20" t="inlineStr">
        <is>
          <t>DTECH</t>
        </is>
      </c>
      <c r="D27" s="20" t="inlineStr">
        <is>
          <t>5а</t>
        </is>
      </c>
      <c r="E27" s="20" t="inlineStr">
        <is>
          <t>Дизайн технологи</t>
        </is>
      </c>
      <c r="F27" s="20" t="n"/>
      <c r="G27" s="20" t="n"/>
      <c r="H27" s="20" t="inlineStr">
        <is>
          <t>Улсын хөтөлбөрөөс түр (батлагдаагүй)</t>
        </is>
      </c>
    </row>
    <row r="28">
      <c r="A28" s="19" t="inlineStr">
        <is>
          <t>БОДИТ</t>
        </is>
      </c>
      <c r="B28" s="20" t="inlineStr">
        <is>
          <t>EJ-2627-5A</t>
        </is>
      </c>
      <c r="C28" s="20" t="inlineStr">
        <is>
          <t>ENG</t>
        </is>
      </c>
      <c r="D28" s="20" t="inlineStr">
        <is>
          <t>5а</t>
        </is>
      </c>
      <c r="E28" s="20" t="inlineStr">
        <is>
          <t>Англи хэл</t>
        </is>
      </c>
      <c r="F28" s="20" t="n"/>
      <c r="G28" s="20" t="n"/>
      <c r="H28" s="20" t="inlineStr">
        <is>
          <t>Улсын хөтөлбөрөөс түр (батлагдаагүй)</t>
        </is>
      </c>
    </row>
    <row r="29">
      <c r="A29" s="19" t="inlineStr">
        <is>
          <t>БОДИТ</t>
        </is>
      </c>
      <c r="B29" s="20" t="inlineStr">
        <is>
          <t>EJ-2627-5A</t>
        </is>
      </c>
      <c r="C29" s="20" t="inlineStr">
        <is>
          <t>MATH</t>
        </is>
      </c>
      <c r="D29" s="20" t="inlineStr">
        <is>
          <t>5а</t>
        </is>
      </c>
      <c r="E29" s="20" t="inlineStr">
        <is>
          <t>Математик</t>
        </is>
      </c>
      <c r="F29" s="20" t="n"/>
      <c r="G29" s="20" t="n"/>
      <c r="H29" s="20" t="inlineStr">
        <is>
          <t>Улсын хөтөлбөрөөс түр (батлагдаагүй)</t>
        </is>
      </c>
    </row>
    <row r="30">
      <c r="A30" s="19" t="inlineStr">
        <is>
          <t>БОДИТ</t>
        </is>
      </c>
      <c r="B30" s="20" t="inlineStr">
        <is>
          <t>EJ-2627-5A</t>
        </is>
      </c>
      <c r="C30" s="20" t="inlineStr">
        <is>
          <t>MGL</t>
        </is>
      </c>
      <c r="D30" s="20" t="inlineStr">
        <is>
          <t>5а</t>
        </is>
      </c>
      <c r="E30" s="20" t="inlineStr">
        <is>
          <t>Монгол хэл</t>
        </is>
      </c>
      <c r="F30" s="20" t="n"/>
      <c r="G30" s="20" t="n"/>
      <c r="H30" s="20" t="inlineStr">
        <is>
          <t>Улсын хөтөлбөрөөс түр (батлагдаагүй)</t>
        </is>
      </c>
    </row>
    <row r="31">
      <c r="A31" s="19" t="inlineStr">
        <is>
          <t>БОДИТ</t>
        </is>
      </c>
      <c r="B31" s="20" t="inlineStr">
        <is>
          <t>EJ-2627-5A</t>
        </is>
      </c>
      <c r="C31" s="20" t="inlineStr">
        <is>
          <t>SCI</t>
        </is>
      </c>
      <c r="D31" s="20" t="inlineStr">
        <is>
          <t>5а</t>
        </is>
      </c>
      <c r="E31" s="20" t="inlineStr">
        <is>
          <t>Байгалийн ухаан</t>
        </is>
      </c>
      <c r="F31" s="20" t="n"/>
      <c r="G31" s="20" t="n"/>
      <c r="H31" s="20" t="inlineStr">
        <is>
          <t>Улсын хөтөлбөрөөс түр (батлагдаагүй)</t>
        </is>
      </c>
    </row>
    <row r="32">
      <c r="A32" s="19" t="inlineStr">
        <is>
          <t>БОДИТ</t>
        </is>
      </c>
      <c r="B32" s="20" t="inlineStr">
        <is>
          <t>EJ-2627-6A</t>
        </is>
      </c>
      <c r="C32" s="20" t="inlineStr">
        <is>
          <t>ART</t>
        </is>
      </c>
      <c r="D32" s="20" t="inlineStr">
        <is>
          <t>6а</t>
        </is>
      </c>
      <c r="E32" s="20" t="inlineStr">
        <is>
          <t>Дүрслэх урлаг</t>
        </is>
      </c>
      <c r="F32" s="20" t="inlineStr">
        <is>
          <t>G06-ART-MN</t>
        </is>
      </c>
      <c r="G32" s="20" t="inlineStr">
        <is>
          <t>Дүрслэх урлаг VI–VII</t>
        </is>
      </c>
      <c r="H32" s="20" t="inlineStr">
        <is>
          <t>Бодит бүртгэл (номоор баталгаажсан)</t>
        </is>
      </c>
    </row>
    <row r="33">
      <c r="A33" s="19" t="inlineStr">
        <is>
          <t>БОДИТ</t>
        </is>
      </c>
      <c r="B33" s="20" t="inlineStr">
        <is>
          <t>EJ-2627-6A</t>
        </is>
      </c>
      <c r="C33" s="20" t="inlineStr">
        <is>
          <t>DTECH</t>
        </is>
      </c>
      <c r="D33" s="20" t="inlineStr">
        <is>
          <t>6а</t>
        </is>
      </c>
      <c r="E33" s="20" t="inlineStr">
        <is>
          <t>Дизайн технологи</t>
        </is>
      </c>
      <c r="F33" s="20" t="inlineStr">
        <is>
          <t>G06-DTECH-MN</t>
        </is>
      </c>
      <c r="G33" s="20" t="inlineStr">
        <is>
          <t>Дизайн технологи VI</t>
        </is>
      </c>
      <c r="H33" s="20" t="inlineStr">
        <is>
          <t>Бодит бүртгэл (номоор баталгаажсан)</t>
        </is>
      </c>
    </row>
    <row r="34">
      <c r="A34" s="19" t="inlineStr">
        <is>
          <t>БОДИТ</t>
        </is>
      </c>
      <c r="B34" s="20" t="inlineStr">
        <is>
          <t>EJ-2627-6A</t>
        </is>
      </c>
      <c r="C34" s="20" t="inlineStr">
        <is>
          <t>ENG</t>
        </is>
      </c>
      <c r="D34" s="20" t="inlineStr">
        <is>
          <t>6а</t>
        </is>
      </c>
      <c r="E34" s="20" t="inlineStr">
        <is>
          <t>Англи хэл</t>
        </is>
      </c>
      <c r="F34" s="20" t="n"/>
      <c r="G34" s="20" t="n"/>
      <c r="H34" s="20" t="inlineStr">
        <is>
          <t>Бодит бүртгэл (номоор баталгаажсан)</t>
        </is>
      </c>
    </row>
    <row r="35">
      <c r="A35" s="19" t="inlineStr">
        <is>
          <t>БОДИТ</t>
        </is>
      </c>
      <c r="B35" s="20" t="inlineStr">
        <is>
          <t>EJ-2627-6A</t>
        </is>
      </c>
      <c r="C35" s="20" t="inlineStr">
        <is>
          <t>ETHICS</t>
        </is>
      </c>
      <c r="D35" s="20" t="inlineStr">
        <is>
          <t>6а</t>
        </is>
      </c>
      <c r="E35" s="20" t="inlineStr">
        <is>
          <t>Иргэний ёс зүйн боловсрол</t>
        </is>
      </c>
      <c r="F35" s="20" t="inlineStr">
        <is>
          <t>G06-ETHICS-MN</t>
        </is>
      </c>
      <c r="G35" s="20" t="inlineStr">
        <is>
          <t>Иргэний ёс зүйн боловсрол VI</t>
        </is>
      </c>
      <c r="H35" s="20" t="inlineStr">
        <is>
          <t>Бодит бүртгэл (номоор баталгаажсан)</t>
        </is>
      </c>
    </row>
    <row r="36">
      <c r="A36" s="19" t="inlineStr">
        <is>
          <t>БОДИТ</t>
        </is>
      </c>
      <c r="B36" s="20" t="inlineStr">
        <is>
          <t>EJ-2627-6A</t>
        </is>
      </c>
      <c r="C36" s="20" t="inlineStr">
        <is>
          <t>HIST</t>
        </is>
      </c>
      <c r="D36" s="20" t="inlineStr">
        <is>
          <t>6а</t>
        </is>
      </c>
      <c r="E36" s="20" t="inlineStr">
        <is>
          <t>Түүх</t>
        </is>
      </c>
      <c r="F36" s="20" t="inlineStr">
        <is>
          <t>G06-HIST-MN</t>
        </is>
      </c>
      <c r="G36" s="20" t="inlineStr">
        <is>
          <t>Түүх VI</t>
        </is>
      </c>
      <c r="H36" s="20" t="inlineStr">
        <is>
          <t>Бодит бүртгэл (номоор баталгаажсан)</t>
        </is>
      </c>
    </row>
    <row r="37">
      <c r="A37" s="19" t="inlineStr">
        <is>
          <t>БОДИТ</t>
        </is>
      </c>
      <c r="B37" s="20" t="inlineStr">
        <is>
          <t>EJ-2627-6A</t>
        </is>
      </c>
      <c r="C37" s="20" t="inlineStr">
        <is>
          <t>ICT</t>
        </is>
      </c>
      <c r="D37" s="20" t="inlineStr">
        <is>
          <t>6а</t>
        </is>
      </c>
      <c r="E37" s="20" t="inlineStr">
        <is>
          <t>Мэдээллийн технологи</t>
        </is>
      </c>
      <c r="F37" s="20" t="inlineStr">
        <is>
          <t>G06-ICT-MN</t>
        </is>
      </c>
      <c r="G37" s="20" t="inlineStr">
        <is>
          <t>Мэдээллийн технологи VI</t>
        </is>
      </c>
      <c r="H37" s="20" t="inlineStr">
        <is>
          <t>Бодит бүртгэл (номоор баталгаажсан)</t>
        </is>
      </c>
    </row>
    <row r="38">
      <c r="A38" s="19" t="inlineStr">
        <is>
          <t>БОДИТ</t>
        </is>
      </c>
      <c r="B38" s="20" t="inlineStr">
        <is>
          <t>EJ-2627-6A</t>
        </is>
      </c>
      <c r="C38" s="20" t="inlineStr">
        <is>
          <t>LIT</t>
        </is>
      </c>
      <c r="D38" s="20" t="inlineStr">
        <is>
          <t>6а</t>
        </is>
      </c>
      <c r="E38" s="20" t="inlineStr">
        <is>
          <t>Уран зохиол</t>
        </is>
      </c>
      <c r="F38" s="20" t="inlineStr">
        <is>
          <t>G06-LIT-MN</t>
        </is>
      </c>
      <c r="G38" s="20" t="inlineStr">
        <is>
          <t>Уран зохиол VI</t>
        </is>
      </c>
      <c r="H38" s="20" t="inlineStr">
        <is>
          <t>Бодит бүртгэл (номоор баталгаажсан)</t>
        </is>
      </c>
    </row>
    <row r="39">
      <c r="A39" s="19" t="inlineStr">
        <is>
          <t>БОДИТ</t>
        </is>
      </c>
      <c r="B39" s="20" t="inlineStr">
        <is>
          <t>EJ-2627-6A</t>
        </is>
      </c>
      <c r="C39" s="20" t="inlineStr">
        <is>
          <t>MATH</t>
        </is>
      </c>
      <c r="D39" s="20" t="inlineStr">
        <is>
          <t>6а</t>
        </is>
      </c>
      <c r="E39" s="20" t="inlineStr">
        <is>
          <t>Математик</t>
        </is>
      </c>
      <c r="F39" s="20" t="inlineStr">
        <is>
          <t>G06-MATH-MN</t>
        </is>
      </c>
      <c r="G39" s="20" t="inlineStr">
        <is>
          <t>Математик VI</t>
        </is>
      </c>
      <c r="H39" s="20" t="inlineStr">
        <is>
          <t>Бодит бүртгэл (номоор баталгаажсан)</t>
        </is>
      </c>
    </row>
    <row r="40">
      <c r="A40" s="19" t="inlineStr">
        <is>
          <t>БОДИТ</t>
        </is>
      </c>
      <c r="B40" s="20" t="inlineStr">
        <is>
          <t>EJ-2627-6A</t>
        </is>
      </c>
      <c r="C40" s="20" t="inlineStr">
        <is>
          <t>MGL</t>
        </is>
      </c>
      <c r="D40" s="20" t="inlineStr">
        <is>
          <t>6а</t>
        </is>
      </c>
      <c r="E40" s="20" t="inlineStr">
        <is>
          <t>Монгол хэл</t>
        </is>
      </c>
      <c r="F40" s="20" t="inlineStr">
        <is>
          <t>G06-MGL-MN</t>
        </is>
      </c>
      <c r="G40" s="20" t="inlineStr">
        <is>
          <t>Монгол хэл VI</t>
        </is>
      </c>
      <c r="H40" s="20" t="inlineStr">
        <is>
          <t>Бодит бүртгэл (номоор баталгаажсан)</t>
        </is>
      </c>
    </row>
    <row r="41">
      <c r="A41" s="19" t="inlineStr">
        <is>
          <t>БОДИТ</t>
        </is>
      </c>
      <c r="B41" s="20" t="inlineStr">
        <is>
          <t>EJ-2627-6A</t>
        </is>
      </c>
      <c r="C41" s="20" t="inlineStr">
        <is>
          <t>SCI</t>
        </is>
      </c>
      <c r="D41" s="20" t="inlineStr">
        <is>
          <t>6а</t>
        </is>
      </c>
      <c r="E41" s="20" t="inlineStr">
        <is>
          <t>Байгалийн ухаан</t>
        </is>
      </c>
      <c r="F41" s="20" t="inlineStr">
        <is>
          <t>G06-SCI-MN</t>
        </is>
      </c>
      <c r="G41" s="20" t="inlineStr">
        <is>
          <t>Байгалийн ухаан VI</t>
        </is>
      </c>
      <c r="H41" s="20" t="inlineStr">
        <is>
          <t>Бодит бүртгэл (номоор баталгаажсан)</t>
        </is>
      </c>
    </row>
    <row r="42">
      <c r="A42" s="19" t="inlineStr">
        <is>
          <t>БОДИТ</t>
        </is>
      </c>
      <c r="B42" s="20" t="inlineStr">
        <is>
          <t>EJ-2627-6A</t>
        </is>
      </c>
      <c r="C42" s="20" t="inlineStr">
        <is>
          <t>SCRIPT</t>
        </is>
      </c>
      <c r="D42" s="20" t="inlineStr">
        <is>
          <t>6а</t>
        </is>
      </c>
      <c r="E42" s="20" t="inlineStr">
        <is>
          <t>Үндэсний бичиг</t>
        </is>
      </c>
      <c r="F42" s="20" t="inlineStr">
        <is>
          <t>G06-SCRIPT-MN</t>
        </is>
      </c>
      <c r="G42" s="20" t="inlineStr">
        <is>
          <t>Үндэсний бичиг VI</t>
        </is>
      </c>
      <c r="H42" s="20" t="inlineStr">
        <is>
          <t>Бодит бүртгэл (номоор баталгаажсан)</t>
        </is>
      </c>
    </row>
    <row r="43">
      <c r="A43" s="19" t="inlineStr">
        <is>
          <t>БОДИТ</t>
        </is>
      </c>
      <c r="B43" s="20" t="inlineStr">
        <is>
          <t>EJ-2627-7A</t>
        </is>
      </c>
      <c r="C43" s="20" t="inlineStr">
        <is>
          <t>ART</t>
        </is>
      </c>
      <c r="D43" s="20" t="inlineStr">
        <is>
          <t>7а</t>
        </is>
      </c>
      <c r="E43" s="20" t="inlineStr">
        <is>
          <t>Дүрслэх урлаг</t>
        </is>
      </c>
      <c r="F43" s="20" t="n"/>
      <c r="G43" s="20" t="n"/>
      <c r="H43" s="20" t="inlineStr">
        <is>
          <t>Улсын хөтөлбөрөөс түр (батлагдаагүй)</t>
        </is>
      </c>
    </row>
    <row r="44">
      <c r="A44" s="19" t="inlineStr">
        <is>
          <t>БОДИТ</t>
        </is>
      </c>
      <c r="B44" s="20" t="inlineStr">
        <is>
          <t>EJ-2627-7A</t>
        </is>
      </c>
      <c r="C44" s="20" t="inlineStr">
        <is>
          <t>DTECH</t>
        </is>
      </c>
      <c r="D44" s="20" t="inlineStr">
        <is>
          <t>7а</t>
        </is>
      </c>
      <c r="E44" s="20" t="inlineStr">
        <is>
          <t>Дизайн технологи</t>
        </is>
      </c>
      <c r="F44" s="20" t="n"/>
      <c r="G44" s="20" t="n"/>
      <c r="H44" s="20" t="inlineStr">
        <is>
          <t>Улсын хөтөлбөрөөс түр (батлагдаагүй)</t>
        </is>
      </c>
    </row>
    <row r="45">
      <c r="A45" s="19" t="inlineStr">
        <is>
          <t>БОДИТ</t>
        </is>
      </c>
      <c r="B45" s="20" t="inlineStr">
        <is>
          <t>EJ-2627-7A</t>
        </is>
      </c>
      <c r="C45" s="20" t="inlineStr">
        <is>
          <t>ENG</t>
        </is>
      </c>
      <c r="D45" s="20" t="inlineStr">
        <is>
          <t>7а</t>
        </is>
      </c>
      <c r="E45" s="20" t="inlineStr">
        <is>
          <t>Англи хэл</t>
        </is>
      </c>
      <c r="F45" s="20" t="n"/>
      <c r="G45" s="20" t="n"/>
      <c r="H45" s="20" t="inlineStr">
        <is>
          <t>Улсын хөтөлбөрөөс түр (батлагдаагүй)</t>
        </is>
      </c>
    </row>
    <row r="46">
      <c r="A46" s="19" t="inlineStr">
        <is>
          <t>БОДИТ</t>
        </is>
      </c>
      <c r="B46" s="20" t="inlineStr">
        <is>
          <t>EJ-2627-7A</t>
        </is>
      </c>
      <c r="C46" s="20" t="inlineStr">
        <is>
          <t>ETHICS</t>
        </is>
      </c>
      <c r="D46" s="20" t="inlineStr">
        <is>
          <t>7а</t>
        </is>
      </c>
      <c r="E46" s="20" t="inlineStr">
        <is>
          <t>Иргэний ёс зүйн боловсрол</t>
        </is>
      </c>
      <c r="F46" s="20" t="n"/>
      <c r="G46" s="20" t="n"/>
      <c r="H46" s="20" t="inlineStr">
        <is>
          <t>Улсын хөтөлбөрөөс түр (батлагдаагүй)</t>
        </is>
      </c>
    </row>
    <row r="47">
      <c r="A47" s="19" t="inlineStr">
        <is>
          <t>БОДИТ</t>
        </is>
      </c>
      <c r="B47" s="20" t="inlineStr">
        <is>
          <t>EJ-2627-7A</t>
        </is>
      </c>
      <c r="C47" s="20" t="inlineStr">
        <is>
          <t>HIST</t>
        </is>
      </c>
      <c r="D47" s="20" t="inlineStr">
        <is>
          <t>7а</t>
        </is>
      </c>
      <c r="E47" s="20" t="inlineStr">
        <is>
          <t>Түүх</t>
        </is>
      </c>
      <c r="F47" s="20" t="n"/>
      <c r="G47" s="20" t="n"/>
      <c r="H47" s="20" t="inlineStr">
        <is>
          <t>Улсын хөтөлбөрөөс түр (батлагдаагүй)</t>
        </is>
      </c>
    </row>
    <row r="48">
      <c r="A48" s="19" t="inlineStr">
        <is>
          <t>БОДИТ</t>
        </is>
      </c>
      <c r="B48" s="20" t="inlineStr">
        <is>
          <t>EJ-2627-7A</t>
        </is>
      </c>
      <c r="C48" s="20" t="inlineStr">
        <is>
          <t>ICT</t>
        </is>
      </c>
      <c r="D48" s="20" t="inlineStr">
        <is>
          <t>7а</t>
        </is>
      </c>
      <c r="E48" s="20" t="inlineStr">
        <is>
          <t>Мэдээллийн технологи</t>
        </is>
      </c>
      <c r="F48" s="20" t="n"/>
      <c r="G48" s="20" t="n"/>
      <c r="H48" s="20" t="inlineStr">
        <is>
          <t>Улсын хөтөлбөрөөс түр (батлагдаагүй)</t>
        </is>
      </c>
    </row>
    <row r="49">
      <c r="A49" s="19" t="inlineStr">
        <is>
          <t>БОДИТ</t>
        </is>
      </c>
      <c r="B49" s="20" t="inlineStr">
        <is>
          <t>EJ-2627-7A</t>
        </is>
      </c>
      <c r="C49" s="20" t="inlineStr">
        <is>
          <t>LIT</t>
        </is>
      </c>
      <c r="D49" s="20" t="inlineStr">
        <is>
          <t>7а</t>
        </is>
      </c>
      <c r="E49" s="20" t="inlineStr">
        <is>
          <t>Уран зохиол</t>
        </is>
      </c>
      <c r="F49" s="20" t="n"/>
      <c r="G49" s="20" t="n"/>
      <c r="H49" s="20" t="inlineStr">
        <is>
          <t>Улсын хөтөлбөрөөс түр (батлагдаагүй)</t>
        </is>
      </c>
    </row>
    <row r="50">
      <c r="A50" s="19" t="inlineStr">
        <is>
          <t>БОДИТ</t>
        </is>
      </c>
      <c r="B50" s="20" t="inlineStr">
        <is>
          <t>EJ-2627-7A</t>
        </is>
      </c>
      <c r="C50" s="20" t="inlineStr">
        <is>
          <t>MATH</t>
        </is>
      </c>
      <c r="D50" s="20" t="inlineStr">
        <is>
          <t>7а</t>
        </is>
      </c>
      <c r="E50" s="20" t="inlineStr">
        <is>
          <t>Математик</t>
        </is>
      </c>
      <c r="F50" s="20" t="n"/>
      <c r="G50" s="20" t="n"/>
      <c r="H50" s="20" t="inlineStr">
        <is>
          <t>Улсын хөтөлбөрөөс түр (батлагдаагүй)</t>
        </is>
      </c>
    </row>
    <row r="51">
      <c r="A51" s="19" t="inlineStr">
        <is>
          <t>БОДИТ</t>
        </is>
      </c>
      <c r="B51" s="20" t="inlineStr">
        <is>
          <t>EJ-2627-7A</t>
        </is>
      </c>
      <c r="C51" s="20" t="inlineStr">
        <is>
          <t>MGL</t>
        </is>
      </c>
      <c r="D51" s="20" t="inlineStr">
        <is>
          <t>7а</t>
        </is>
      </c>
      <c r="E51" s="20" t="inlineStr">
        <is>
          <t>Монгол хэл</t>
        </is>
      </c>
      <c r="F51" s="20" t="n"/>
      <c r="G51" s="20" t="n"/>
      <c r="H51" s="20" t="inlineStr">
        <is>
          <t>Улсын хөтөлбөрөөс түр (батлагдаагүй)</t>
        </is>
      </c>
    </row>
    <row r="52">
      <c r="A52" s="19" t="inlineStr">
        <is>
          <t>БОДИТ</t>
        </is>
      </c>
      <c r="B52" s="20" t="inlineStr">
        <is>
          <t>EJ-2627-7A</t>
        </is>
      </c>
      <c r="C52" s="20" t="inlineStr">
        <is>
          <t>SCI</t>
        </is>
      </c>
      <c r="D52" s="20" t="inlineStr">
        <is>
          <t>7а</t>
        </is>
      </c>
      <c r="E52" s="20" t="inlineStr">
        <is>
          <t>Байгалийн ухаан</t>
        </is>
      </c>
      <c r="F52" s="20" t="n"/>
      <c r="G52" s="20" t="n"/>
      <c r="H52" s="20" t="inlineStr">
        <is>
          <t>Улсын хөтөлбөрөөс түр (батлагдаагүй)</t>
        </is>
      </c>
    </row>
    <row r="53">
      <c r="A53" s="19" t="inlineStr">
        <is>
          <t>БОДИТ</t>
        </is>
      </c>
      <c r="B53" s="20" t="inlineStr">
        <is>
          <t>EJ-2627-7A</t>
        </is>
      </c>
      <c r="C53" s="20" t="inlineStr">
        <is>
          <t>SCRIPT</t>
        </is>
      </c>
      <c r="D53" s="20" t="inlineStr">
        <is>
          <t>7а</t>
        </is>
      </c>
      <c r="E53" s="20" t="inlineStr">
        <is>
          <t>Үндэсний бичиг</t>
        </is>
      </c>
      <c r="F53" s="20" t="n"/>
      <c r="G53" s="20" t="n"/>
      <c r="H53" s="20" t="inlineStr">
        <is>
          <t>Улсын хөтөлбөрөөс түр (батлагдаагүй)</t>
        </is>
      </c>
    </row>
    <row r="54">
      <c r="A54" s="19" t="inlineStr">
        <is>
          <t>БОДИТ</t>
        </is>
      </c>
      <c r="B54" s="20" t="inlineStr">
        <is>
          <t>EJ-2627-7B</t>
        </is>
      </c>
      <c r="C54" s="20" t="inlineStr">
        <is>
          <t>ART</t>
        </is>
      </c>
      <c r="D54" s="20" t="inlineStr">
        <is>
          <t>7б</t>
        </is>
      </c>
      <c r="E54" s="20" t="inlineStr">
        <is>
          <t>Дүрслэх урлаг</t>
        </is>
      </c>
      <c r="F54" s="20" t="n"/>
      <c r="G54" s="20" t="n"/>
      <c r="H54" s="20" t="inlineStr">
        <is>
          <t>Улсын хөтөлбөрөөс түр (батлагдаагүй)</t>
        </is>
      </c>
    </row>
    <row r="55">
      <c r="A55" s="19" t="inlineStr">
        <is>
          <t>БОДИТ</t>
        </is>
      </c>
      <c r="B55" s="20" t="inlineStr">
        <is>
          <t>EJ-2627-7B</t>
        </is>
      </c>
      <c r="C55" s="20" t="inlineStr">
        <is>
          <t>DTECH</t>
        </is>
      </c>
      <c r="D55" s="20" t="inlineStr">
        <is>
          <t>7б</t>
        </is>
      </c>
      <c r="E55" s="20" t="inlineStr">
        <is>
          <t>Дизайн технологи</t>
        </is>
      </c>
      <c r="F55" s="20" t="n"/>
      <c r="G55" s="20" t="n"/>
      <c r="H55" s="20" t="inlineStr">
        <is>
          <t>Улсын хөтөлбөрөөс түр (батлагдаагүй)</t>
        </is>
      </c>
    </row>
    <row r="56">
      <c r="A56" s="19" t="inlineStr">
        <is>
          <t>БОДИТ</t>
        </is>
      </c>
      <c r="B56" s="20" t="inlineStr">
        <is>
          <t>EJ-2627-7B</t>
        </is>
      </c>
      <c r="C56" s="20" t="inlineStr">
        <is>
          <t>ENG</t>
        </is>
      </c>
      <c r="D56" s="20" t="inlineStr">
        <is>
          <t>7б</t>
        </is>
      </c>
      <c r="E56" s="20" t="inlineStr">
        <is>
          <t>Англи хэл</t>
        </is>
      </c>
      <c r="F56" s="20" t="n"/>
      <c r="G56" s="20" t="n"/>
      <c r="H56" s="20" t="inlineStr">
        <is>
          <t>Улсын хөтөлбөрөөс түр (батлагдаагүй)</t>
        </is>
      </c>
    </row>
    <row r="57">
      <c r="A57" s="19" t="inlineStr">
        <is>
          <t>БОДИТ</t>
        </is>
      </c>
      <c r="B57" s="20" t="inlineStr">
        <is>
          <t>EJ-2627-7B</t>
        </is>
      </c>
      <c r="C57" s="20" t="inlineStr">
        <is>
          <t>ETHICS</t>
        </is>
      </c>
      <c r="D57" s="20" t="inlineStr">
        <is>
          <t>7б</t>
        </is>
      </c>
      <c r="E57" s="20" t="inlineStr">
        <is>
          <t>Иргэний ёс зүйн боловсрол</t>
        </is>
      </c>
      <c r="F57" s="20" t="n"/>
      <c r="G57" s="20" t="n"/>
      <c r="H57" s="20" t="inlineStr">
        <is>
          <t>Улсын хөтөлбөрөөс түр (батлагдаагүй)</t>
        </is>
      </c>
    </row>
    <row r="58">
      <c r="A58" s="19" t="inlineStr">
        <is>
          <t>БОДИТ</t>
        </is>
      </c>
      <c r="B58" s="20" t="inlineStr">
        <is>
          <t>EJ-2627-7B</t>
        </is>
      </c>
      <c r="C58" s="20" t="inlineStr">
        <is>
          <t>HIST</t>
        </is>
      </c>
      <c r="D58" s="20" t="inlineStr">
        <is>
          <t>7б</t>
        </is>
      </c>
      <c r="E58" s="20" t="inlineStr">
        <is>
          <t>Түүх</t>
        </is>
      </c>
      <c r="F58" s="20" t="n"/>
      <c r="G58" s="20" t="n"/>
      <c r="H58" s="20" t="inlineStr">
        <is>
          <t>Улсын хөтөлбөрөөс түр (батлагдаагүй)</t>
        </is>
      </c>
    </row>
    <row r="59">
      <c r="A59" s="19" t="inlineStr">
        <is>
          <t>БОДИТ</t>
        </is>
      </c>
      <c r="B59" s="20" t="inlineStr">
        <is>
          <t>EJ-2627-7B</t>
        </is>
      </c>
      <c r="C59" s="20" t="inlineStr">
        <is>
          <t>ICT</t>
        </is>
      </c>
      <c r="D59" s="20" t="inlineStr">
        <is>
          <t>7б</t>
        </is>
      </c>
      <c r="E59" s="20" t="inlineStr">
        <is>
          <t>Мэдээллийн технологи</t>
        </is>
      </c>
      <c r="F59" s="20" t="n"/>
      <c r="G59" s="20" t="n"/>
      <c r="H59" s="20" t="inlineStr">
        <is>
          <t>Улсын хөтөлбөрөөс түр (батлагдаагүй)</t>
        </is>
      </c>
    </row>
    <row r="60">
      <c r="A60" s="19" t="inlineStr">
        <is>
          <t>БОДИТ</t>
        </is>
      </c>
      <c r="B60" s="20" t="inlineStr">
        <is>
          <t>EJ-2627-7B</t>
        </is>
      </c>
      <c r="C60" s="20" t="inlineStr">
        <is>
          <t>LIT</t>
        </is>
      </c>
      <c r="D60" s="20" t="inlineStr">
        <is>
          <t>7б</t>
        </is>
      </c>
      <c r="E60" s="20" t="inlineStr">
        <is>
          <t>Уран зохиол</t>
        </is>
      </c>
      <c r="F60" s="20" t="n"/>
      <c r="G60" s="20" t="n"/>
      <c r="H60" s="20" t="inlineStr">
        <is>
          <t>Улсын хөтөлбөрөөс түр (батлагдаагүй)</t>
        </is>
      </c>
    </row>
    <row r="61">
      <c r="A61" s="19" t="inlineStr">
        <is>
          <t>БОДИТ</t>
        </is>
      </c>
      <c r="B61" s="20" t="inlineStr">
        <is>
          <t>EJ-2627-7B</t>
        </is>
      </c>
      <c r="C61" s="20" t="inlineStr">
        <is>
          <t>MATH</t>
        </is>
      </c>
      <c r="D61" s="20" t="inlineStr">
        <is>
          <t>7б</t>
        </is>
      </c>
      <c r="E61" s="20" t="inlineStr">
        <is>
          <t>Математик</t>
        </is>
      </c>
      <c r="F61" s="20" t="n"/>
      <c r="G61" s="20" t="n"/>
      <c r="H61" s="20" t="inlineStr">
        <is>
          <t>Улсын хөтөлбөрөөс түр (батлагдаагүй)</t>
        </is>
      </c>
    </row>
    <row r="62">
      <c r="A62" s="19" t="inlineStr">
        <is>
          <t>БОДИТ</t>
        </is>
      </c>
      <c r="B62" s="20" t="inlineStr">
        <is>
          <t>EJ-2627-7B</t>
        </is>
      </c>
      <c r="C62" s="20" t="inlineStr">
        <is>
          <t>MGL</t>
        </is>
      </c>
      <c r="D62" s="20" t="inlineStr">
        <is>
          <t>7б</t>
        </is>
      </c>
      <c r="E62" s="20" t="inlineStr">
        <is>
          <t>Монгол хэл</t>
        </is>
      </c>
      <c r="F62" s="20" t="n"/>
      <c r="G62" s="20" t="n"/>
      <c r="H62" s="20" t="inlineStr">
        <is>
          <t>Улсын хөтөлбөрөөс түр (батлагдаагүй)</t>
        </is>
      </c>
    </row>
    <row r="63">
      <c r="A63" s="19" t="inlineStr">
        <is>
          <t>БОДИТ</t>
        </is>
      </c>
      <c r="B63" s="20" t="inlineStr">
        <is>
          <t>EJ-2627-7B</t>
        </is>
      </c>
      <c r="C63" s="20" t="inlineStr">
        <is>
          <t>SCI</t>
        </is>
      </c>
      <c r="D63" s="20" t="inlineStr">
        <is>
          <t>7б</t>
        </is>
      </c>
      <c r="E63" s="20" t="inlineStr">
        <is>
          <t>Байгалийн ухаан</t>
        </is>
      </c>
      <c r="F63" s="20" t="n"/>
      <c r="G63" s="20" t="n"/>
      <c r="H63" s="20" t="inlineStr">
        <is>
          <t>Улсын хөтөлбөрөөс түр (батлагдаагүй)</t>
        </is>
      </c>
    </row>
    <row r="64">
      <c r="A64" s="19" t="inlineStr">
        <is>
          <t>БОДИТ</t>
        </is>
      </c>
      <c r="B64" s="20" t="inlineStr">
        <is>
          <t>EJ-2627-7B</t>
        </is>
      </c>
      <c r="C64" s="20" t="inlineStr">
        <is>
          <t>SCRIPT</t>
        </is>
      </c>
      <c r="D64" s="20" t="inlineStr">
        <is>
          <t>7б</t>
        </is>
      </c>
      <c r="E64" s="20" t="inlineStr">
        <is>
          <t>Үндэсний бичиг</t>
        </is>
      </c>
      <c r="F64" s="20" t="n"/>
      <c r="G64" s="20" t="n"/>
      <c r="H64" s="20" t="inlineStr">
        <is>
          <t>Улсын хөтөлбөрөөс түр (батлагдаагүй)</t>
        </is>
      </c>
    </row>
    <row r="65">
      <c r="A65" s="19" t="inlineStr">
        <is>
          <t>БОДИТ</t>
        </is>
      </c>
      <c r="B65" s="20" t="inlineStr">
        <is>
          <t>EJ-2627-8A</t>
        </is>
      </c>
      <c r="C65" s="20" t="inlineStr">
        <is>
          <t>ART</t>
        </is>
      </c>
      <c r="D65" s="20" t="inlineStr">
        <is>
          <t>8а</t>
        </is>
      </c>
      <c r="E65" s="20" t="inlineStr">
        <is>
          <t>Дүрслэх урлаг</t>
        </is>
      </c>
      <c r="F65" s="20" t="n"/>
      <c r="G65" s="20" t="n"/>
      <c r="H65" s="20" t="inlineStr">
        <is>
          <t>Улсын хөтөлбөрөөс түр (батлагдаагүй)</t>
        </is>
      </c>
    </row>
    <row r="66">
      <c r="A66" s="19" t="inlineStr">
        <is>
          <t>БОДИТ</t>
        </is>
      </c>
      <c r="B66" s="20" t="inlineStr">
        <is>
          <t>EJ-2627-8A</t>
        </is>
      </c>
      <c r="C66" s="20" t="inlineStr">
        <is>
          <t>DTECH</t>
        </is>
      </c>
      <c r="D66" s="20" t="inlineStr">
        <is>
          <t>8а</t>
        </is>
      </c>
      <c r="E66" s="20" t="inlineStr">
        <is>
          <t>Дизайн технологи</t>
        </is>
      </c>
      <c r="F66" s="20" t="n"/>
      <c r="G66" s="20" t="n"/>
      <c r="H66" s="20" t="inlineStr">
        <is>
          <t>Улсын хөтөлбөрөөс түр (батлагдаагүй)</t>
        </is>
      </c>
    </row>
    <row r="67">
      <c r="A67" s="19" t="inlineStr">
        <is>
          <t>БОДИТ</t>
        </is>
      </c>
      <c r="B67" s="20" t="inlineStr">
        <is>
          <t>EJ-2627-8A</t>
        </is>
      </c>
      <c r="C67" s="20" t="inlineStr">
        <is>
          <t>ENG</t>
        </is>
      </c>
      <c r="D67" s="20" t="inlineStr">
        <is>
          <t>8а</t>
        </is>
      </c>
      <c r="E67" s="20" t="inlineStr">
        <is>
          <t>Англи хэл</t>
        </is>
      </c>
      <c r="F67" s="20" t="n"/>
      <c r="G67" s="20" t="n"/>
      <c r="H67" s="20" t="inlineStr">
        <is>
          <t>Улсын хөтөлбөрөөс түр (батлагдаагүй)</t>
        </is>
      </c>
    </row>
    <row r="68">
      <c r="A68" s="19" t="inlineStr">
        <is>
          <t>БОДИТ</t>
        </is>
      </c>
      <c r="B68" s="20" t="inlineStr">
        <is>
          <t>EJ-2627-8A</t>
        </is>
      </c>
      <c r="C68" s="20" t="inlineStr">
        <is>
          <t>ETHICS</t>
        </is>
      </c>
      <c r="D68" s="20" t="inlineStr">
        <is>
          <t>8а</t>
        </is>
      </c>
      <c r="E68" s="20" t="inlineStr">
        <is>
          <t>Иргэний ёс зүйн боловсрол</t>
        </is>
      </c>
      <c r="F68" s="20" t="n"/>
      <c r="G68" s="20" t="n"/>
      <c r="H68" s="20" t="inlineStr">
        <is>
          <t>Улсын хөтөлбөрөөс түр (батлагдаагүй)</t>
        </is>
      </c>
    </row>
    <row r="69">
      <c r="A69" s="19" t="inlineStr">
        <is>
          <t>БОДИТ</t>
        </is>
      </c>
      <c r="B69" s="20" t="inlineStr">
        <is>
          <t>EJ-2627-8A</t>
        </is>
      </c>
      <c r="C69" s="20" t="inlineStr">
        <is>
          <t>HIST</t>
        </is>
      </c>
      <c r="D69" s="20" t="inlineStr">
        <is>
          <t>8а</t>
        </is>
      </c>
      <c r="E69" s="20" t="inlineStr">
        <is>
          <t>Түүх</t>
        </is>
      </c>
      <c r="F69" s="20" t="n"/>
      <c r="G69" s="20" t="n"/>
      <c r="H69" s="20" t="inlineStr">
        <is>
          <t>Улсын хөтөлбөрөөс түр (батлагдаагүй)</t>
        </is>
      </c>
    </row>
    <row r="70">
      <c r="A70" s="19" t="inlineStr">
        <is>
          <t>БОДИТ</t>
        </is>
      </c>
      <c r="B70" s="20" t="inlineStr">
        <is>
          <t>EJ-2627-8A</t>
        </is>
      </c>
      <c r="C70" s="20" t="inlineStr">
        <is>
          <t>ICT</t>
        </is>
      </c>
      <c r="D70" s="20" t="inlineStr">
        <is>
          <t>8а</t>
        </is>
      </c>
      <c r="E70" s="20" t="inlineStr">
        <is>
          <t>Мэдээллийн технологи</t>
        </is>
      </c>
      <c r="F70" s="20" t="n"/>
      <c r="G70" s="20" t="n"/>
      <c r="H70" s="20" t="inlineStr">
        <is>
          <t>Улсын хөтөлбөрөөс түр (батлагдаагүй)</t>
        </is>
      </c>
    </row>
    <row r="71">
      <c r="A71" s="19" t="inlineStr">
        <is>
          <t>БОДИТ</t>
        </is>
      </c>
      <c r="B71" s="20" t="inlineStr">
        <is>
          <t>EJ-2627-8A</t>
        </is>
      </c>
      <c r="C71" s="20" t="inlineStr">
        <is>
          <t>LIT</t>
        </is>
      </c>
      <c r="D71" s="20" t="inlineStr">
        <is>
          <t>8а</t>
        </is>
      </c>
      <c r="E71" s="20" t="inlineStr">
        <is>
          <t>Уран зохиол</t>
        </is>
      </c>
      <c r="F71" s="20" t="n"/>
      <c r="G71" s="20" t="n"/>
      <c r="H71" s="20" t="inlineStr">
        <is>
          <t>Улсын хөтөлбөрөөс түр (батлагдаагүй)</t>
        </is>
      </c>
    </row>
    <row r="72">
      <c r="A72" s="19" t="inlineStr">
        <is>
          <t>БОДИТ</t>
        </is>
      </c>
      <c r="B72" s="20" t="inlineStr">
        <is>
          <t>EJ-2627-8A</t>
        </is>
      </c>
      <c r="C72" s="20" t="inlineStr">
        <is>
          <t>MATH</t>
        </is>
      </c>
      <c r="D72" s="20" t="inlineStr">
        <is>
          <t>8а</t>
        </is>
      </c>
      <c r="E72" s="20" t="inlineStr">
        <is>
          <t>Математик</t>
        </is>
      </c>
      <c r="F72" s="20" t="n"/>
      <c r="G72" s="20" t="n"/>
      <c r="H72" s="20" t="inlineStr">
        <is>
          <t>Улсын хөтөлбөрөөс түр (батлагдаагүй)</t>
        </is>
      </c>
    </row>
    <row r="73">
      <c r="A73" s="19" t="inlineStr">
        <is>
          <t>БОДИТ</t>
        </is>
      </c>
      <c r="B73" s="20" t="inlineStr">
        <is>
          <t>EJ-2627-8A</t>
        </is>
      </c>
      <c r="C73" s="20" t="inlineStr">
        <is>
          <t>MGL</t>
        </is>
      </c>
      <c r="D73" s="20" t="inlineStr">
        <is>
          <t>8а</t>
        </is>
      </c>
      <c r="E73" s="20" t="inlineStr">
        <is>
          <t>Монгол хэл</t>
        </is>
      </c>
      <c r="F73" s="20" t="n"/>
      <c r="G73" s="20" t="n"/>
      <c r="H73" s="20" t="inlineStr">
        <is>
          <t>Улсын хөтөлбөрөөс түр (батлагдаагүй)</t>
        </is>
      </c>
    </row>
    <row r="74">
      <c r="A74" s="19" t="inlineStr">
        <is>
          <t>БОДИТ</t>
        </is>
      </c>
      <c r="B74" s="20" t="inlineStr">
        <is>
          <t>EJ-2627-8A</t>
        </is>
      </c>
      <c r="C74" s="20" t="inlineStr">
        <is>
          <t>SCI</t>
        </is>
      </c>
      <c r="D74" s="20" t="inlineStr">
        <is>
          <t>8а</t>
        </is>
      </c>
      <c r="E74" s="20" t="inlineStr">
        <is>
          <t>Байгалийн ухаан</t>
        </is>
      </c>
      <c r="F74" s="20" t="n"/>
      <c r="G74" s="20" t="n"/>
      <c r="H74" s="20" t="inlineStr">
        <is>
          <t>Улсын хөтөлбөрөөс түр (батлагдаагүй)</t>
        </is>
      </c>
    </row>
    <row r="75">
      <c r="A75" s="19" t="inlineStr">
        <is>
          <t>БОДИТ</t>
        </is>
      </c>
      <c r="B75" s="20" t="inlineStr">
        <is>
          <t>EJ-2627-8A</t>
        </is>
      </c>
      <c r="C75" s="20" t="inlineStr">
        <is>
          <t>SCRIPT</t>
        </is>
      </c>
      <c r="D75" s="20" t="inlineStr">
        <is>
          <t>8а</t>
        </is>
      </c>
      <c r="E75" s="20" t="inlineStr">
        <is>
          <t>Үндэсний бичиг</t>
        </is>
      </c>
      <c r="F75" s="20" t="n"/>
      <c r="G75" s="20" t="n"/>
      <c r="H75" s="20" t="inlineStr">
        <is>
          <t>Улсын хөтөлбөрөөс түр (батлагдаагүй)</t>
        </is>
      </c>
    </row>
    <row r="76">
      <c r="A76" s="19" t="inlineStr">
        <is>
          <t>БОДИТ</t>
        </is>
      </c>
      <c r="B76" s="20" t="inlineStr">
        <is>
          <t>EJ-2627-9A</t>
        </is>
      </c>
      <c r="C76" s="20" t="inlineStr">
        <is>
          <t>ART</t>
        </is>
      </c>
      <c r="D76" s="20" t="inlineStr">
        <is>
          <t>9а</t>
        </is>
      </c>
      <c r="E76" s="20" t="inlineStr">
        <is>
          <t>Дүрслэх урлаг</t>
        </is>
      </c>
      <c r="F76" s="20" t="n"/>
      <c r="G76" s="20" t="n"/>
      <c r="H76" s="20" t="inlineStr">
        <is>
          <t>Улсын хөтөлбөрөөс түр (батлагдаагүй)</t>
        </is>
      </c>
    </row>
    <row r="77">
      <c r="A77" s="19" t="inlineStr">
        <is>
          <t>БОДИТ</t>
        </is>
      </c>
      <c r="B77" s="20" t="inlineStr">
        <is>
          <t>EJ-2627-9A</t>
        </is>
      </c>
      <c r="C77" s="20" t="inlineStr">
        <is>
          <t>DTECH</t>
        </is>
      </c>
      <c r="D77" s="20" t="inlineStr">
        <is>
          <t>9а</t>
        </is>
      </c>
      <c r="E77" s="20" t="inlineStr">
        <is>
          <t>Дизайн технологи</t>
        </is>
      </c>
      <c r="F77" s="20" t="n"/>
      <c r="G77" s="20" t="n"/>
      <c r="H77" s="20" t="inlineStr">
        <is>
          <t>Улсын хөтөлбөрөөс түр (батлагдаагүй)</t>
        </is>
      </c>
    </row>
    <row r="78">
      <c r="A78" s="19" t="inlineStr">
        <is>
          <t>БОДИТ</t>
        </is>
      </c>
      <c r="B78" s="20" t="inlineStr">
        <is>
          <t>EJ-2627-9A</t>
        </is>
      </c>
      <c r="C78" s="20" t="inlineStr">
        <is>
          <t>ENG</t>
        </is>
      </c>
      <c r="D78" s="20" t="inlineStr">
        <is>
          <t>9а</t>
        </is>
      </c>
      <c r="E78" s="20" t="inlineStr">
        <is>
          <t>Англи хэл</t>
        </is>
      </c>
      <c r="F78" s="20" t="n"/>
      <c r="G78" s="20" t="n"/>
      <c r="H78" s="20" t="inlineStr">
        <is>
          <t>Улсын хөтөлбөрөөс түр (батлагдаагүй)</t>
        </is>
      </c>
    </row>
    <row r="79">
      <c r="A79" s="19" t="inlineStr">
        <is>
          <t>БОДИТ</t>
        </is>
      </c>
      <c r="B79" s="20" t="inlineStr">
        <is>
          <t>EJ-2627-9A</t>
        </is>
      </c>
      <c r="C79" s="20" t="inlineStr">
        <is>
          <t>ETHICS</t>
        </is>
      </c>
      <c r="D79" s="20" t="inlineStr">
        <is>
          <t>9а</t>
        </is>
      </c>
      <c r="E79" s="20" t="inlineStr">
        <is>
          <t>Иргэний ёс зүйн боловсрол</t>
        </is>
      </c>
      <c r="F79" s="20" t="n"/>
      <c r="G79" s="20" t="n"/>
      <c r="H79" s="20" t="inlineStr">
        <is>
          <t>Улсын хөтөлбөрөөс түр (батлагдаагүй)</t>
        </is>
      </c>
    </row>
    <row r="80">
      <c r="A80" s="19" t="inlineStr">
        <is>
          <t>БОДИТ</t>
        </is>
      </c>
      <c r="B80" s="20" t="inlineStr">
        <is>
          <t>EJ-2627-9A</t>
        </is>
      </c>
      <c r="C80" s="20" t="inlineStr">
        <is>
          <t>HIST</t>
        </is>
      </c>
      <c r="D80" s="20" t="inlineStr">
        <is>
          <t>9а</t>
        </is>
      </c>
      <c r="E80" s="20" t="inlineStr">
        <is>
          <t>Түүх</t>
        </is>
      </c>
      <c r="F80" s="20" t="n"/>
      <c r="G80" s="20" t="n"/>
      <c r="H80" s="20" t="inlineStr">
        <is>
          <t>Улсын хөтөлбөрөөс түр (батлагдаагүй)</t>
        </is>
      </c>
    </row>
    <row r="81">
      <c r="A81" s="19" t="inlineStr">
        <is>
          <t>БОДИТ</t>
        </is>
      </c>
      <c r="B81" s="20" t="inlineStr">
        <is>
          <t>EJ-2627-9A</t>
        </is>
      </c>
      <c r="C81" s="20" t="inlineStr">
        <is>
          <t>ICT</t>
        </is>
      </c>
      <c r="D81" s="20" t="inlineStr">
        <is>
          <t>9а</t>
        </is>
      </c>
      <c r="E81" s="20" t="inlineStr">
        <is>
          <t>Мэдээллийн технологи</t>
        </is>
      </c>
      <c r="F81" s="20" t="n"/>
      <c r="G81" s="20" t="n"/>
      <c r="H81" s="20" t="inlineStr">
        <is>
          <t>Улсын хөтөлбөрөөс түр (батлагдаагүй)</t>
        </is>
      </c>
    </row>
    <row r="82">
      <c r="A82" s="19" t="inlineStr">
        <is>
          <t>БОДИТ</t>
        </is>
      </c>
      <c r="B82" s="20" t="inlineStr">
        <is>
          <t>EJ-2627-9A</t>
        </is>
      </c>
      <c r="C82" s="20" t="inlineStr">
        <is>
          <t>LIT</t>
        </is>
      </c>
      <c r="D82" s="20" t="inlineStr">
        <is>
          <t>9а</t>
        </is>
      </c>
      <c r="E82" s="20" t="inlineStr">
        <is>
          <t>Уран зохиол</t>
        </is>
      </c>
      <c r="F82" s="20" t="n"/>
      <c r="G82" s="20" t="n"/>
      <c r="H82" s="20" t="inlineStr">
        <is>
          <t>Улсын хөтөлбөрөөс түр (батлагдаагүй)</t>
        </is>
      </c>
    </row>
    <row r="83">
      <c r="A83" s="19" t="inlineStr">
        <is>
          <t>БОДИТ</t>
        </is>
      </c>
      <c r="B83" s="20" t="inlineStr">
        <is>
          <t>EJ-2627-9A</t>
        </is>
      </c>
      <c r="C83" s="20" t="inlineStr">
        <is>
          <t>MATH</t>
        </is>
      </c>
      <c r="D83" s="20" t="inlineStr">
        <is>
          <t>9а</t>
        </is>
      </c>
      <c r="E83" s="20" t="inlineStr">
        <is>
          <t>Математик</t>
        </is>
      </c>
      <c r="F83" s="20" t="n"/>
      <c r="G83" s="20" t="n"/>
      <c r="H83" s="20" t="inlineStr">
        <is>
          <t>Улсын хөтөлбөрөөс түр (батлагдаагүй)</t>
        </is>
      </c>
    </row>
    <row r="84">
      <c r="A84" s="19" t="inlineStr">
        <is>
          <t>БОДИТ</t>
        </is>
      </c>
      <c r="B84" s="20" t="inlineStr">
        <is>
          <t>EJ-2627-9A</t>
        </is>
      </c>
      <c r="C84" s="20" t="inlineStr">
        <is>
          <t>MGL</t>
        </is>
      </c>
      <c r="D84" s="20" t="inlineStr">
        <is>
          <t>9а</t>
        </is>
      </c>
      <c r="E84" s="20" t="inlineStr">
        <is>
          <t>Монгол хэл</t>
        </is>
      </c>
      <c r="F84" s="20" t="n"/>
      <c r="G84" s="20" t="n"/>
      <c r="H84" s="20" t="inlineStr">
        <is>
          <t>Улсын хөтөлбөрөөс түр (батлагдаагүй)</t>
        </is>
      </c>
    </row>
    <row r="85">
      <c r="A85" s="19" t="inlineStr">
        <is>
          <t>БОДИТ</t>
        </is>
      </c>
      <c r="B85" s="20" t="inlineStr">
        <is>
          <t>EJ-2627-9A</t>
        </is>
      </c>
      <c r="C85" s="20" t="inlineStr">
        <is>
          <t>SCI</t>
        </is>
      </c>
      <c r="D85" s="20" t="inlineStr">
        <is>
          <t>9а</t>
        </is>
      </c>
      <c r="E85" s="20" t="inlineStr">
        <is>
          <t>Байгалийн ухаан</t>
        </is>
      </c>
      <c r="F85" s="20" t="n"/>
      <c r="G85" s="20" t="n"/>
      <c r="H85" s="20" t="inlineStr">
        <is>
          <t>Улсын хөтөлбөрөөс түр (батлагдаагүй)</t>
        </is>
      </c>
    </row>
    <row r="86">
      <c r="A86" s="19" t="inlineStr">
        <is>
          <t>БОДИТ</t>
        </is>
      </c>
      <c r="B86" s="20" t="inlineStr">
        <is>
          <t>EJ-2627-9A</t>
        </is>
      </c>
      <c r="C86" s="20" t="inlineStr">
        <is>
          <t>SCRIPT</t>
        </is>
      </c>
      <c r="D86" s="20" t="inlineStr">
        <is>
          <t>9а</t>
        </is>
      </c>
      <c r="E86" s="20" t="inlineStr">
        <is>
          <t>Үндэсний бичиг</t>
        </is>
      </c>
      <c r="F86" s="20" t="n"/>
      <c r="G86" s="20" t="n"/>
      <c r="H86" s="20" t="inlineStr">
        <is>
          <t>Улсын хөтөлбөрөөс түр (батлагдаагүй)</t>
        </is>
      </c>
    </row>
    <row r="87">
      <c r="A87" s="19" t="inlineStr">
        <is>
          <t>БОДИТ</t>
        </is>
      </c>
      <c r="B87" s="20" t="inlineStr">
        <is>
          <t>EJ-2627-9B</t>
        </is>
      </c>
      <c r="C87" s="20" t="inlineStr">
        <is>
          <t>ART</t>
        </is>
      </c>
      <c r="D87" s="20" t="inlineStr">
        <is>
          <t>9б</t>
        </is>
      </c>
      <c r="E87" s="20" t="inlineStr">
        <is>
          <t>Дүрслэх урлаг</t>
        </is>
      </c>
      <c r="F87" s="20" t="n"/>
      <c r="G87" s="20" t="n"/>
      <c r="H87" s="20" t="inlineStr">
        <is>
          <t>Улсын хөтөлбөрөөс түр (батлагдаагүй)</t>
        </is>
      </c>
    </row>
    <row r="88">
      <c r="A88" s="19" t="inlineStr">
        <is>
          <t>БОДИТ</t>
        </is>
      </c>
      <c r="B88" s="20" t="inlineStr">
        <is>
          <t>EJ-2627-9B</t>
        </is>
      </c>
      <c r="C88" s="20" t="inlineStr">
        <is>
          <t>DTECH</t>
        </is>
      </c>
      <c r="D88" s="20" t="inlineStr">
        <is>
          <t>9б</t>
        </is>
      </c>
      <c r="E88" s="20" t="inlineStr">
        <is>
          <t>Дизайн технологи</t>
        </is>
      </c>
      <c r="F88" s="20" t="n"/>
      <c r="G88" s="20" t="n"/>
      <c r="H88" s="20" t="inlineStr">
        <is>
          <t>Улсын хөтөлбөрөөс түр (батлагдаагүй)</t>
        </is>
      </c>
    </row>
    <row r="89">
      <c r="A89" s="19" t="inlineStr">
        <is>
          <t>БОДИТ</t>
        </is>
      </c>
      <c r="B89" s="20" t="inlineStr">
        <is>
          <t>EJ-2627-9B</t>
        </is>
      </c>
      <c r="C89" s="20" t="inlineStr">
        <is>
          <t>ENG</t>
        </is>
      </c>
      <c r="D89" s="20" t="inlineStr">
        <is>
          <t>9б</t>
        </is>
      </c>
      <c r="E89" s="20" t="inlineStr">
        <is>
          <t>Англи хэл</t>
        </is>
      </c>
      <c r="F89" s="20" t="n"/>
      <c r="G89" s="20" t="n"/>
      <c r="H89" s="20" t="inlineStr">
        <is>
          <t>Улсын хөтөлбөрөөс түр (батлагдаагүй)</t>
        </is>
      </c>
    </row>
    <row r="90">
      <c r="A90" s="19" t="inlineStr">
        <is>
          <t>БОДИТ</t>
        </is>
      </c>
      <c r="B90" s="20" t="inlineStr">
        <is>
          <t>EJ-2627-9B</t>
        </is>
      </c>
      <c r="C90" s="20" t="inlineStr">
        <is>
          <t>ETHICS</t>
        </is>
      </c>
      <c r="D90" s="20" t="inlineStr">
        <is>
          <t>9б</t>
        </is>
      </c>
      <c r="E90" s="20" t="inlineStr">
        <is>
          <t>Иргэний ёс зүйн боловсрол</t>
        </is>
      </c>
      <c r="F90" s="20" t="n"/>
      <c r="G90" s="20" t="n"/>
      <c r="H90" s="20" t="inlineStr">
        <is>
          <t>Улсын хөтөлбөрөөс түр (батлагдаагүй)</t>
        </is>
      </c>
    </row>
    <row r="91">
      <c r="A91" s="19" t="inlineStr">
        <is>
          <t>БОДИТ</t>
        </is>
      </c>
      <c r="B91" s="20" t="inlineStr">
        <is>
          <t>EJ-2627-9B</t>
        </is>
      </c>
      <c r="C91" s="20" t="inlineStr">
        <is>
          <t>HIST</t>
        </is>
      </c>
      <c r="D91" s="20" t="inlineStr">
        <is>
          <t>9б</t>
        </is>
      </c>
      <c r="E91" s="20" t="inlineStr">
        <is>
          <t>Түүх</t>
        </is>
      </c>
      <c r="F91" s="20" t="n"/>
      <c r="G91" s="20" t="n"/>
      <c r="H91" s="20" t="inlineStr">
        <is>
          <t>Улсын хөтөлбөрөөс түр (батлагдаагүй)</t>
        </is>
      </c>
    </row>
    <row r="92">
      <c r="A92" s="19" t="inlineStr">
        <is>
          <t>БОДИТ</t>
        </is>
      </c>
      <c r="B92" s="20" t="inlineStr">
        <is>
          <t>EJ-2627-9B</t>
        </is>
      </c>
      <c r="C92" s="20" t="inlineStr">
        <is>
          <t>ICT</t>
        </is>
      </c>
      <c r="D92" s="20" t="inlineStr">
        <is>
          <t>9б</t>
        </is>
      </c>
      <c r="E92" s="20" t="inlineStr">
        <is>
          <t>Мэдээллийн технологи</t>
        </is>
      </c>
      <c r="F92" s="20" t="n"/>
      <c r="G92" s="20" t="n"/>
      <c r="H92" s="20" t="inlineStr">
        <is>
          <t>Улсын хөтөлбөрөөс түр (батлагдаагүй)</t>
        </is>
      </c>
    </row>
    <row r="93">
      <c r="A93" s="19" t="inlineStr">
        <is>
          <t>БОДИТ</t>
        </is>
      </c>
      <c r="B93" s="20" t="inlineStr">
        <is>
          <t>EJ-2627-9B</t>
        </is>
      </c>
      <c r="C93" s="20" t="inlineStr">
        <is>
          <t>LIT</t>
        </is>
      </c>
      <c r="D93" s="20" t="inlineStr">
        <is>
          <t>9б</t>
        </is>
      </c>
      <c r="E93" s="20" t="inlineStr">
        <is>
          <t>Уран зохиол</t>
        </is>
      </c>
      <c r="F93" s="20" t="n"/>
      <c r="G93" s="20" t="n"/>
      <c r="H93" s="20" t="inlineStr">
        <is>
          <t>Улсын хөтөлбөрөөс түр (батлагдаагүй)</t>
        </is>
      </c>
    </row>
    <row r="94">
      <c r="A94" s="19" t="inlineStr">
        <is>
          <t>БОДИТ</t>
        </is>
      </c>
      <c r="B94" s="20" t="inlineStr">
        <is>
          <t>EJ-2627-9B</t>
        </is>
      </c>
      <c r="C94" s="20" t="inlineStr">
        <is>
          <t>MATH</t>
        </is>
      </c>
      <c r="D94" s="20" t="inlineStr">
        <is>
          <t>9б</t>
        </is>
      </c>
      <c r="E94" s="20" t="inlineStr">
        <is>
          <t>Математик</t>
        </is>
      </c>
      <c r="F94" s="20" t="n"/>
      <c r="G94" s="20" t="n"/>
      <c r="H94" s="20" t="inlineStr">
        <is>
          <t>Улсын хөтөлбөрөөс түр (батлагдаагүй)</t>
        </is>
      </c>
    </row>
    <row r="95">
      <c r="A95" s="19" t="inlineStr">
        <is>
          <t>БОДИТ</t>
        </is>
      </c>
      <c r="B95" s="20" t="inlineStr">
        <is>
          <t>EJ-2627-9B</t>
        </is>
      </c>
      <c r="C95" s="20" t="inlineStr">
        <is>
          <t>MGL</t>
        </is>
      </c>
      <c r="D95" s="20" t="inlineStr">
        <is>
          <t>9б</t>
        </is>
      </c>
      <c r="E95" s="20" t="inlineStr">
        <is>
          <t>Монгол хэл</t>
        </is>
      </c>
      <c r="F95" s="20" t="n"/>
      <c r="G95" s="20" t="n"/>
      <c r="H95" s="20" t="inlineStr">
        <is>
          <t>Улсын хөтөлбөрөөс түр (батлагдаагүй)</t>
        </is>
      </c>
    </row>
    <row r="96">
      <c r="A96" s="19" t="inlineStr">
        <is>
          <t>БОДИТ</t>
        </is>
      </c>
      <c r="B96" s="20" t="inlineStr">
        <is>
          <t>EJ-2627-9B</t>
        </is>
      </c>
      <c r="C96" s="20" t="inlineStr">
        <is>
          <t>SCI</t>
        </is>
      </c>
      <c r="D96" s="20" t="inlineStr">
        <is>
          <t>9б</t>
        </is>
      </c>
      <c r="E96" s="20" t="inlineStr">
        <is>
          <t>Байгалийн ухаан</t>
        </is>
      </c>
      <c r="F96" s="20" t="n"/>
      <c r="G96" s="20" t="n"/>
      <c r="H96" s="20" t="inlineStr">
        <is>
          <t>Улсын хөтөлбөрөөс түр (батлагдаагүй)</t>
        </is>
      </c>
    </row>
    <row r="97">
      <c r="A97" s="19" t="inlineStr">
        <is>
          <t>БОДИТ</t>
        </is>
      </c>
      <c r="B97" s="20" t="inlineStr">
        <is>
          <t>EJ-2627-9B</t>
        </is>
      </c>
      <c r="C97" s="20" t="inlineStr">
        <is>
          <t>SCRIPT</t>
        </is>
      </c>
      <c r="D97" s="20" t="inlineStr">
        <is>
          <t>9б</t>
        </is>
      </c>
      <c r="E97" s="20" t="inlineStr">
        <is>
          <t>Үндэсний бичиг</t>
        </is>
      </c>
      <c r="F97" s="20" t="n"/>
      <c r="G97" s="20" t="n"/>
      <c r="H97" s="20" t="inlineStr">
        <is>
          <t>Улсын хөтөлбөрөөс түр (батлагдаагүй)</t>
        </is>
      </c>
    </row>
    <row r="98">
      <c r="A98" s="19" t="inlineStr">
        <is>
          <t>БОДИТ</t>
        </is>
      </c>
      <c r="B98" s="20" t="inlineStr">
        <is>
          <t>EJ-2627-10A</t>
        </is>
      </c>
      <c r="C98" s="20" t="inlineStr">
        <is>
          <t>ENG</t>
        </is>
      </c>
      <c r="D98" s="20" t="inlineStr">
        <is>
          <t>10а</t>
        </is>
      </c>
      <c r="E98" s="20" t="inlineStr">
        <is>
          <t>Англи хэл</t>
        </is>
      </c>
      <c r="F98" s="20" t="n"/>
      <c r="G98" s="20" t="n"/>
      <c r="H98" s="20" t="inlineStr">
        <is>
          <t>Улсын хөтөлбөрөөс түр (батлагдаагүй)</t>
        </is>
      </c>
    </row>
    <row r="99">
      <c r="A99" s="19" t="inlineStr">
        <is>
          <t>БОДИТ</t>
        </is>
      </c>
      <c r="B99" s="20" t="inlineStr">
        <is>
          <t>EJ-2627-10A</t>
        </is>
      </c>
      <c r="C99" s="20" t="inlineStr">
        <is>
          <t>ETHICS</t>
        </is>
      </c>
      <c r="D99" s="20" t="inlineStr">
        <is>
          <t>10а</t>
        </is>
      </c>
      <c r="E99" s="20" t="inlineStr">
        <is>
          <t>Иргэний ёс зүйн боловсрол</t>
        </is>
      </c>
      <c r="F99" s="20" t="n"/>
      <c r="G99" s="20" t="n"/>
      <c r="H99" s="20" t="inlineStr">
        <is>
          <t>Улсын хөтөлбөрөөс түр (батлагдаагүй)</t>
        </is>
      </c>
    </row>
    <row r="100">
      <c r="A100" s="19" t="inlineStr">
        <is>
          <t>БОДИТ</t>
        </is>
      </c>
      <c r="B100" s="20" t="inlineStr">
        <is>
          <t>EJ-2627-10A</t>
        </is>
      </c>
      <c r="C100" s="20" t="inlineStr">
        <is>
          <t>HIST</t>
        </is>
      </c>
      <c r="D100" s="20" t="inlineStr">
        <is>
          <t>10а</t>
        </is>
      </c>
      <c r="E100" s="20" t="inlineStr">
        <is>
          <t>Түүх</t>
        </is>
      </c>
      <c r="F100" s="20" t="n"/>
      <c r="G100" s="20" t="n"/>
      <c r="H100" s="20" t="inlineStr">
        <is>
          <t>Улсын хөтөлбөрөөс түр (батлагдаагүй)</t>
        </is>
      </c>
    </row>
    <row r="101">
      <c r="A101" s="19" t="inlineStr">
        <is>
          <t>БОДИТ</t>
        </is>
      </c>
      <c r="B101" s="20" t="inlineStr">
        <is>
          <t>EJ-2627-10A</t>
        </is>
      </c>
      <c r="C101" s="20" t="inlineStr">
        <is>
          <t>ICT</t>
        </is>
      </c>
      <c r="D101" s="20" t="inlineStr">
        <is>
          <t>10а</t>
        </is>
      </c>
      <c r="E101" s="20" t="inlineStr">
        <is>
          <t>Мэдээллийн технологи</t>
        </is>
      </c>
      <c r="F101" s="20" t="n"/>
      <c r="G101" s="20" t="n"/>
      <c r="H101" s="20" t="inlineStr">
        <is>
          <t>Улсын хөтөлбөрөөс түр (батлагдаагүй)</t>
        </is>
      </c>
    </row>
    <row r="102">
      <c r="A102" s="19" t="inlineStr">
        <is>
          <t>БОДИТ</t>
        </is>
      </c>
      <c r="B102" s="20" t="inlineStr">
        <is>
          <t>EJ-2627-10A</t>
        </is>
      </c>
      <c r="C102" s="20" t="inlineStr">
        <is>
          <t>LIT</t>
        </is>
      </c>
      <c r="D102" s="20" t="inlineStr">
        <is>
          <t>10а</t>
        </is>
      </c>
      <c r="E102" s="20" t="inlineStr">
        <is>
          <t>Уран зохиол</t>
        </is>
      </c>
      <c r="F102" s="20" t="n"/>
      <c r="G102" s="20" t="n"/>
      <c r="H102" s="20" t="inlineStr">
        <is>
          <t>Улсын хөтөлбөрөөс түр (батлагдаагүй)</t>
        </is>
      </c>
    </row>
    <row r="103">
      <c r="A103" s="19" t="inlineStr">
        <is>
          <t>БОДИТ</t>
        </is>
      </c>
      <c r="B103" s="20" t="inlineStr">
        <is>
          <t>EJ-2627-10A</t>
        </is>
      </c>
      <c r="C103" s="20" t="inlineStr">
        <is>
          <t>MATH</t>
        </is>
      </c>
      <c r="D103" s="20" t="inlineStr">
        <is>
          <t>10а</t>
        </is>
      </c>
      <c r="E103" s="20" t="inlineStr">
        <is>
          <t>Математик</t>
        </is>
      </c>
      <c r="F103" s="20" t="n"/>
      <c r="G103" s="20" t="n"/>
      <c r="H103" s="20" t="inlineStr">
        <is>
          <t>Улсын хөтөлбөрөөс түр (батлагдаагүй)</t>
        </is>
      </c>
    </row>
    <row r="104">
      <c r="A104" s="19" t="inlineStr">
        <is>
          <t>БОДИТ</t>
        </is>
      </c>
      <c r="B104" s="20" t="inlineStr">
        <is>
          <t>EJ-2627-10A</t>
        </is>
      </c>
      <c r="C104" s="20" t="inlineStr">
        <is>
          <t>MGL</t>
        </is>
      </c>
      <c r="D104" s="20" t="inlineStr">
        <is>
          <t>10а</t>
        </is>
      </c>
      <c r="E104" s="20" t="inlineStr">
        <is>
          <t>Монгол хэл</t>
        </is>
      </c>
      <c r="F104" s="20" t="n"/>
      <c r="G104" s="20" t="n"/>
      <c r="H104" s="20" t="inlineStr">
        <is>
          <t>Улсын хөтөлбөрөөс түр (батлагдаагүй)</t>
        </is>
      </c>
    </row>
    <row r="105">
      <c r="A105" s="19" t="inlineStr">
        <is>
          <t>БОДИТ</t>
        </is>
      </c>
      <c r="B105" s="20" t="inlineStr">
        <is>
          <t>EJ-2627-10A</t>
        </is>
      </c>
      <c r="C105" s="20" t="inlineStr">
        <is>
          <t>SCI</t>
        </is>
      </c>
      <c r="D105" s="20" t="inlineStr">
        <is>
          <t>10а</t>
        </is>
      </c>
      <c r="E105" s="20" t="inlineStr">
        <is>
          <t>Байгалийн ухаан</t>
        </is>
      </c>
      <c r="F105" s="20" t="n"/>
      <c r="G105" s="20" t="n"/>
      <c r="H105" s="20" t="inlineStr">
        <is>
          <t>Улсын хөтөлбөрөөс түр (батлагдаагүй)</t>
        </is>
      </c>
    </row>
    <row r="106">
      <c r="A106" s="19" t="inlineStr">
        <is>
          <t>БОДИТ</t>
        </is>
      </c>
      <c r="B106" s="20" t="inlineStr">
        <is>
          <t>EJ-2627-10A</t>
        </is>
      </c>
      <c r="C106" s="20" t="inlineStr">
        <is>
          <t>SCRIPT</t>
        </is>
      </c>
      <c r="D106" s="20" t="inlineStr">
        <is>
          <t>10а</t>
        </is>
      </c>
      <c r="E106" s="20" t="inlineStr">
        <is>
          <t>Үндэсний бичиг</t>
        </is>
      </c>
      <c r="F106" s="20" t="n"/>
      <c r="G106" s="20" t="n"/>
      <c r="H106" s="20" t="inlineStr">
        <is>
          <t>Улсын хөтөлбөрөөс түр (батлагдаагүй)</t>
        </is>
      </c>
    </row>
    <row r="107">
      <c r="A107" s="19" t="inlineStr">
        <is>
          <t>БОДИТ</t>
        </is>
      </c>
      <c r="B107" s="20" t="inlineStr">
        <is>
          <t>EJ-2627-11A</t>
        </is>
      </c>
      <c r="C107" s="20" t="inlineStr">
        <is>
          <t>ENG</t>
        </is>
      </c>
      <c r="D107" s="20" t="inlineStr">
        <is>
          <t>11а</t>
        </is>
      </c>
      <c r="E107" s="20" t="inlineStr">
        <is>
          <t>Англи хэл</t>
        </is>
      </c>
      <c r="F107" s="20" t="n"/>
      <c r="G107" s="20" t="n"/>
      <c r="H107" s="20" t="inlineStr">
        <is>
          <t>Улсын хөтөлбөрөөс түр (батлагдаагүй)</t>
        </is>
      </c>
    </row>
    <row r="108">
      <c r="A108" s="19" t="inlineStr">
        <is>
          <t>БОДИТ</t>
        </is>
      </c>
      <c r="B108" s="20" t="inlineStr">
        <is>
          <t>EJ-2627-11A</t>
        </is>
      </c>
      <c r="C108" s="20" t="inlineStr">
        <is>
          <t>ETHICS</t>
        </is>
      </c>
      <c r="D108" s="20" t="inlineStr">
        <is>
          <t>11а</t>
        </is>
      </c>
      <c r="E108" s="20" t="inlineStr">
        <is>
          <t>Иргэний ёс зүйн боловсрол</t>
        </is>
      </c>
      <c r="F108" s="20" t="n"/>
      <c r="G108" s="20" t="n"/>
      <c r="H108" s="20" t="inlineStr">
        <is>
          <t>Улсын хөтөлбөрөөс түр (батлагдаагүй)</t>
        </is>
      </c>
    </row>
    <row r="109">
      <c r="A109" s="19" t="inlineStr">
        <is>
          <t>БОДИТ</t>
        </is>
      </c>
      <c r="B109" s="20" t="inlineStr">
        <is>
          <t>EJ-2627-11A</t>
        </is>
      </c>
      <c r="C109" s="20" t="inlineStr">
        <is>
          <t>HIST</t>
        </is>
      </c>
      <c r="D109" s="20" t="inlineStr">
        <is>
          <t>11а</t>
        </is>
      </c>
      <c r="E109" s="20" t="inlineStr">
        <is>
          <t>Түүх</t>
        </is>
      </c>
      <c r="F109" s="20" t="n"/>
      <c r="G109" s="20" t="n"/>
      <c r="H109" s="20" t="inlineStr">
        <is>
          <t>Улсын хөтөлбөрөөс түр (батлагдаагүй)</t>
        </is>
      </c>
    </row>
    <row r="110">
      <c r="A110" s="19" t="inlineStr">
        <is>
          <t>БОДИТ</t>
        </is>
      </c>
      <c r="B110" s="20" t="inlineStr">
        <is>
          <t>EJ-2627-11A</t>
        </is>
      </c>
      <c r="C110" s="20" t="inlineStr">
        <is>
          <t>ICT</t>
        </is>
      </c>
      <c r="D110" s="20" t="inlineStr">
        <is>
          <t>11а</t>
        </is>
      </c>
      <c r="E110" s="20" t="inlineStr">
        <is>
          <t>Мэдээллийн технологи</t>
        </is>
      </c>
      <c r="F110" s="20" t="n"/>
      <c r="G110" s="20" t="n"/>
      <c r="H110" s="20" t="inlineStr">
        <is>
          <t>Улсын хөтөлбөрөөс түр (батлагдаагүй)</t>
        </is>
      </c>
    </row>
    <row r="111">
      <c r="A111" s="19" t="inlineStr">
        <is>
          <t>БОДИТ</t>
        </is>
      </c>
      <c r="B111" s="20" t="inlineStr">
        <is>
          <t>EJ-2627-11A</t>
        </is>
      </c>
      <c r="C111" s="20" t="inlineStr">
        <is>
          <t>LIT</t>
        </is>
      </c>
      <c r="D111" s="20" t="inlineStr">
        <is>
          <t>11а</t>
        </is>
      </c>
      <c r="E111" s="20" t="inlineStr">
        <is>
          <t>Уран зохиол</t>
        </is>
      </c>
      <c r="F111" s="20" t="n"/>
      <c r="G111" s="20" t="n"/>
      <c r="H111" s="20" t="inlineStr">
        <is>
          <t>Улсын хөтөлбөрөөс түр (батлагдаагүй)</t>
        </is>
      </c>
    </row>
    <row r="112">
      <c r="A112" s="19" t="inlineStr">
        <is>
          <t>БОДИТ</t>
        </is>
      </c>
      <c r="B112" s="20" t="inlineStr">
        <is>
          <t>EJ-2627-11A</t>
        </is>
      </c>
      <c r="C112" s="20" t="inlineStr">
        <is>
          <t>MATH</t>
        </is>
      </c>
      <c r="D112" s="20" t="inlineStr">
        <is>
          <t>11а</t>
        </is>
      </c>
      <c r="E112" s="20" t="inlineStr">
        <is>
          <t>Математик</t>
        </is>
      </c>
      <c r="F112" s="20" t="n"/>
      <c r="G112" s="20" t="n"/>
      <c r="H112" s="20" t="inlineStr">
        <is>
          <t>Улсын хөтөлбөрөөс түр (батлагдаагүй)</t>
        </is>
      </c>
    </row>
    <row r="113">
      <c r="A113" s="19" t="inlineStr">
        <is>
          <t>БОДИТ</t>
        </is>
      </c>
      <c r="B113" s="20" t="inlineStr">
        <is>
          <t>EJ-2627-11A</t>
        </is>
      </c>
      <c r="C113" s="20" t="inlineStr">
        <is>
          <t>MGL</t>
        </is>
      </c>
      <c r="D113" s="20" t="inlineStr">
        <is>
          <t>11а</t>
        </is>
      </c>
      <c r="E113" s="20" t="inlineStr">
        <is>
          <t>Монгол хэл</t>
        </is>
      </c>
      <c r="F113" s="20" t="n"/>
      <c r="G113" s="20" t="n"/>
      <c r="H113" s="20" t="inlineStr">
        <is>
          <t>Улсын хөтөлбөрөөс түр (батлагдаагүй)</t>
        </is>
      </c>
    </row>
    <row r="114">
      <c r="A114" s="19" t="inlineStr">
        <is>
          <t>БОДИТ</t>
        </is>
      </c>
      <c r="B114" s="20" t="inlineStr">
        <is>
          <t>EJ-2627-11A</t>
        </is>
      </c>
      <c r="C114" s="20" t="inlineStr">
        <is>
          <t>SCI</t>
        </is>
      </c>
      <c r="D114" s="20" t="inlineStr">
        <is>
          <t>11а</t>
        </is>
      </c>
      <c r="E114" s="20" t="inlineStr">
        <is>
          <t>Байгалийн ухаан</t>
        </is>
      </c>
      <c r="F114" s="20" t="n"/>
      <c r="G114" s="20" t="n"/>
      <c r="H114" s="20" t="inlineStr">
        <is>
          <t>Улсын хөтөлбөрөөс түр (батлагдаагүй)</t>
        </is>
      </c>
    </row>
    <row r="115">
      <c r="A115" s="19" t="inlineStr">
        <is>
          <t>БОДИТ</t>
        </is>
      </c>
      <c r="B115" s="20" t="inlineStr">
        <is>
          <t>EJ-2627-11A</t>
        </is>
      </c>
      <c r="C115" s="20" t="inlineStr">
        <is>
          <t>SCRIPT</t>
        </is>
      </c>
      <c r="D115" s="20" t="inlineStr">
        <is>
          <t>11а</t>
        </is>
      </c>
      <c r="E115" s="20" t="inlineStr">
        <is>
          <t>Үндэсний бичиг</t>
        </is>
      </c>
      <c r="F115" s="20" t="n"/>
      <c r="G115" s="20" t="n"/>
      <c r="H115" s="20" t="inlineStr">
        <is>
          <t>Улсын хөтөлбөрөөс түр (батлагдаагүй)</t>
        </is>
      </c>
    </row>
    <row r="116">
      <c r="A116" s="19" t="inlineStr">
        <is>
          <t>БОДИТ</t>
        </is>
      </c>
      <c r="B116" s="20" t="inlineStr">
        <is>
          <t>EJ-2627-12A</t>
        </is>
      </c>
      <c r="C116" s="20" t="inlineStr">
        <is>
          <t>ENG</t>
        </is>
      </c>
      <c r="D116" s="20" t="inlineStr">
        <is>
          <t>12а</t>
        </is>
      </c>
      <c r="E116" s="20" t="inlineStr">
        <is>
          <t>Англи хэл</t>
        </is>
      </c>
      <c r="F116" s="20" t="n"/>
      <c r="G116" s="20" t="n"/>
      <c r="H116" s="20" t="inlineStr">
        <is>
          <t>Улсын хөтөлбөрөөс түр (батлагдаагүй)</t>
        </is>
      </c>
    </row>
    <row r="117">
      <c r="A117" s="19" t="inlineStr">
        <is>
          <t>БОДИТ</t>
        </is>
      </c>
      <c r="B117" s="20" t="inlineStr">
        <is>
          <t>EJ-2627-12A</t>
        </is>
      </c>
      <c r="C117" s="20" t="inlineStr">
        <is>
          <t>ETHICS</t>
        </is>
      </c>
      <c r="D117" s="20" t="inlineStr">
        <is>
          <t>12а</t>
        </is>
      </c>
      <c r="E117" s="20" t="inlineStr">
        <is>
          <t>Иргэний ёс зүйн боловсрол</t>
        </is>
      </c>
      <c r="F117" s="20" t="n"/>
      <c r="G117" s="20" t="n"/>
      <c r="H117" s="20" t="inlineStr">
        <is>
          <t>Улсын хөтөлбөрөөс түр (батлагдаагүй)</t>
        </is>
      </c>
    </row>
    <row r="118">
      <c r="A118" s="19" t="inlineStr">
        <is>
          <t>БОДИТ</t>
        </is>
      </c>
      <c r="B118" s="20" t="inlineStr">
        <is>
          <t>EJ-2627-12A</t>
        </is>
      </c>
      <c r="C118" s="20" t="inlineStr">
        <is>
          <t>HIST</t>
        </is>
      </c>
      <c r="D118" s="20" t="inlineStr">
        <is>
          <t>12а</t>
        </is>
      </c>
      <c r="E118" s="20" t="inlineStr">
        <is>
          <t>Түүх</t>
        </is>
      </c>
      <c r="F118" s="20" t="n"/>
      <c r="G118" s="20" t="n"/>
      <c r="H118" s="20" t="inlineStr">
        <is>
          <t>Улсын хөтөлбөрөөс түр (батлагдаагүй)</t>
        </is>
      </c>
    </row>
    <row r="119">
      <c r="A119" s="19" t="inlineStr">
        <is>
          <t>БОДИТ</t>
        </is>
      </c>
      <c r="B119" s="20" t="inlineStr">
        <is>
          <t>EJ-2627-12A</t>
        </is>
      </c>
      <c r="C119" s="20" t="inlineStr">
        <is>
          <t>ICT</t>
        </is>
      </c>
      <c r="D119" s="20" t="inlineStr">
        <is>
          <t>12а</t>
        </is>
      </c>
      <c r="E119" s="20" t="inlineStr">
        <is>
          <t>Мэдээллийн технологи</t>
        </is>
      </c>
      <c r="F119" s="20" t="n"/>
      <c r="G119" s="20" t="n"/>
      <c r="H119" s="20" t="inlineStr">
        <is>
          <t>Улсын хөтөлбөрөөс түр (батлагдаагүй)</t>
        </is>
      </c>
    </row>
    <row r="120">
      <c r="A120" s="19" t="inlineStr">
        <is>
          <t>БОДИТ</t>
        </is>
      </c>
      <c r="B120" s="20" t="inlineStr">
        <is>
          <t>EJ-2627-12A</t>
        </is>
      </c>
      <c r="C120" s="20" t="inlineStr">
        <is>
          <t>LIT</t>
        </is>
      </c>
      <c r="D120" s="20" t="inlineStr">
        <is>
          <t>12а</t>
        </is>
      </c>
      <c r="E120" s="20" t="inlineStr">
        <is>
          <t>Уран зохиол</t>
        </is>
      </c>
      <c r="F120" s="20" t="n"/>
      <c r="G120" s="20" t="n"/>
      <c r="H120" s="20" t="inlineStr">
        <is>
          <t>Улсын хөтөлбөрөөс түр (батлагдаагүй)</t>
        </is>
      </c>
    </row>
    <row r="121">
      <c r="A121" s="19" t="inlineStr">
        <is>
          <t>БОДИТ</t>
        </is>
      </c>
      <c r="B121" s="20" t="inlineStr">
        <is>
          <t>EJ-2627-12A</t>
        </is>
      </c>
      <c r="C121" s="20" t="inlineStr">
        <is>
          <t>MATH</t>
        </is>
      </c>
      <c r="D121" s="20" t="inlineStr">
        <is>
          <t>12а</t>
        </is>
      </c>
      <c r="E121" s="20" t="inlineStr">
        <is>
          <t>Математик</t>
        </is>
      </c>
      <c r="F121" s="20" t="n"/>
      <c r="G121" s="20" t="n"/>
      <c r="H121" s="20" t="inlineStr">
        <is>
          <t>Улсын хөтөлбөрөөс түр (батлагдаагүй)</t>
        </is>
      </c>
    </row>
    <row r="122">
      <c r="A122" s="19" t="inlineStr">
        <is>
          <t>БОДИТ</t>
        </is>
      </c>
      <c r="B122" s="20" t="inlineStr">
        <is>
          <t>EJ-2627-12A</t>
        </is>
      </c>
      <c r="C122" s="20" t="inlineStr">
        <is>
          <t>MGL</t>
        </is>
      </c>
      <c r="D122" s="20" t="inlineStr">
        <is>
          <t>12а</t>
        </is>
      </c>
      <c r="E122" s="20" t="inlineStr">
        <is>
          <t>Монгол хэл</t>
        </is>
      </c>
      <c r="F122" s="20" t="n"/>
      <c r="G122" s="20" t="n"/>
      <c r="H122" s="20" t="inlineStr">
        <is>
          <t>Улсын хөтөлбөрөөс түр (батлагдаагүй)</t>
        </is>
      </c>
    </row>
    <row r="123">
      <c r="A123" s="19" t="inlineStr">
        <is>
          <t>БОДИТ</t>
        </is>
      </c>
      <c r="B123" s="20" t="inlineStr">
        <is>
          <t>EJ-2627-12A</t>
        </is>
      </c>
      <c r="C123" s="20" t="inlineStr">
        <is>
          <t>SCI</t>
        </is>
      </c>
      <c r="D123" s="20" t="inlineStr">
        <is>
          <t>12а</t>
        </is>
      </c>
      <c r="E123" s="20" t="inlineStr">
        <is>
          <t>Байгалийн ухаан</t>
        </is>
      </c>
      <c r="F123" s="20" t="n"/>
      <c r="G123" s="20" t="n"/>
      <c r="H123" s="20" t="inlineStr">
        <is>
          <t>Улсын хөтөлбөрөөс түр (батлагдаагүй)</t>
        </is>
      </c>
    </row>
    <row r="124">
      <c r="A124" s="19" t="inlineStr">
        <is>
          <t>БОДИТ</t>
        </is>
      </c>
      <c r="B124" s="20" t="inlineStr">
        <is>
          <t>EJ-2627-12A</t>
        </is>
      </c>
      <c r="C124" s="20" t="inlineStr">
        <is>
          <t>SCRIPT</t>
        </is>
      </c>
      <c r="D124" s="20" t="inlineStr">
        <is>
          <t>12а</t>
        </is>
      </c>
      <c r="E124" s="20" t="inlineStr">
        <is>
          <t>Үндэсний бичиг</t>
        </is>
      </c>
      <c r="F124" s="20" t="n"/>
      <c r="G124" s="20" t="n"/>
      <c r="H124" s="20" t="inlineStr">
        <is>
          <t>Улсын хөтөлбөрөөс түр (батлагдаагүй)</t>
        </is>
      </c>
    </row>
    <row r="126" ht="30" customHeight="1">
      <c r="A126" s="15" t="inlineStr">
        <is>
          <t>«Улсын хөтөлбөрөөс түр» гэсэн 108 мөрийг шалгах хэрэгтэй: тухайн анги үнэхээр тэр хичээлийг үздэг эсэх.</t>
        </is>
      </c>
    </row>
  </sheetData>
  <autoFilter ref="A5:H124"/>
  <mergeCells count="4">
    <mergeCell ref="A126:H126"/>
    <mergeCell ref="A3:H3"/>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0"/>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6" customWidth="1" min="3" max="3"/>
    <col width="10" customWidth="1" min="4" max="4"/>
    <col width="14" customWidth="1" min="5" max="5"/>
    <col width="54" customWidth="1" min="6" max="6"/>
    <col width="12" customWidth="1" min="7" max="7"/>
    <col width="12" customWidth="1" min="8" max="8"/>
    <col width="10" customWidth="1" min="9" max="9"/>
  </cols>
  <sheetData>
    <row r="1">
      <c r="A1" s="16" t="inlineStr">
        <is>
          <t>Номын сэдвийн задаргаа   (★)</t>
        </is>
      </c>
    </row>
    <row r="2" ht="44" customHeight="1">
      <c r="A2" s="2" t="inlineStr">
        <is>
          <t>Ном бүрийн бүлэг, сэдэв, хуудасны дугаар, аль улиралд үзэхийг заана. Математик VI (72 сэдэв) болон Монгол хэл VI (27 сэдэв) орсон. Үлдсэн 9 номынх ОРООГҮЙ — сүүлийн 4 шар мөр нь юу хэрэгтэйг харуулсан жишээ.</t>
        </is>
      </c>
    </row>
    <row r="3">
      <c r="A3" s="22" t="inlineStr">
        <is>
          <t>ЗАРИМ НЬ ОРСОН — дутууг нөхөх шаардлагатай</t>
        </is>
      </c>
    </row>
    <row r="5" ht="32" customHeight="1">
      <c r="A5" s="18" t="inlineStr">
        <is>
          <t>Төлөв</t>
        </is>
      </c>
      <c r="B5" s="18" t="inlineStr">
        <is>
          <t>Номын код</t>
        </is>
      </c>
      <c r="C5" s="18" t="inlineStr">
        <is>
          <t>Ном</t>
        </is>
      </c>
      <c r="D5" s="18" t="inlineStr">
        <is>
          <t>Дараалал</t>
        </is>
      </c>
      <c r="E5" s="18" t="inlineStr">
        <is>
          <t>Бүлэг/дугаар</t>
        </is>
      </c>
      <c r="F5" s="18" t="inlineStr">
        <is>
          <t>Сэдвийн нэр</t>
        </is>
      </c>
      <c r="G5" s="18" t="inlineStr">
        <is>
          <t>Хуудас эхлэх</t>
        </is>
      </c>
      <c r="H5" s="18" t="inlineStr">
        <is>
          <t>Хуудас дуусах</t>
        </is>
      </c>
      <c r="I5" s="18" t="inlineStr">
        <is>
          <t>Улирал</t>
        </is>
      </c>
    </row>
    <row r="6">
      <c r="A6" s="19" t="inlineStr">
        <is>
          <t>БОДИТ</t>
        </is>
      </c>
      <c r="B6" s="20" t="inlineStr">
        <is>
          <t>G06-MATH-MN</t>
        </is>
      </c>
      <c r="C6" s="20" t="inlineStr">
        <is>
          <t>Математик VI</t>
        </is>
      </c>
      <c r="D6" s="20" t="n">
        <v>1</v>
      </c>
      <c r="E6" s="20" t="inlineStr">
        <is>
          <t>I.1</t>
        </is>
      </c>
      <c r="F6" s="20" t="inlineStr">
        <is>
          <t>Бүхэл тоонуудыг жиших</t>
        </is>
      </c>
      <c r="G6" s="20" t="n">
        <v>5</v>
      </c>
      <c r="H6" s="20" t="n">
        <v>6</v>
      </c>
      <c r="I6" s="20" t="n">
        <v>1</v>
      </c>
    </row>
    <row r="7">
      <c r="A7" s="19" t="inlineStr">
        <is>
          <t>БОДИТ</t>
        </is>
      </c>
      <c r="B7" s="20" t="inlineStr">
        <is>
          <t>G06-MATH-MN</t>
        </is>
      </c>
      <c r="C7" s="20" t="inlineStr">
        <is>
          <t>Математик VI</t>
        </is>
      </c>
      <c r="D7" s="20" t="n">
        <v>2</v>
      </c>
      <c r="E7" s="20" t="inlineStr">
        <is>
          <t>I.2</t>
        </is>
      </c>
      <c r="F7" s="20" t="inlineStr">
        <is>
          <t>Бүхэл тооны нэмэх, хасах үйлдэл</t>
        </is>
      </c>
      <c r="G7" s="20" t="n">
        <v>7</v>
      </c>
      <c r="H7" s="20" t="n">
        <v>9</v>
      </c>
      <c r="I7" s="20" t="n">
        <v>1</v>
      </c>
    </row>
    <row r="8">
      <c r="A8" s="19" t="inlineStr">
        <is>
          <t>БОДИТ</t>
        </is>
      </c>
      <c r="B8" s="20" t="inlineStr">
        <is>
          <t>G06-MATH-MN</t>
        </is>
      </c>
      <c r="C8" s="20" t="inlineStr">
        <is>
          <t>Математик VI</t>
        </is>
      </c>
      <c r="D8" s="20" t="n">
        <v>3</v>
      </c>
      <c r="E8" s="20" t="inlineStr">
        <is>
          <t>I.3</t>
        </is>
      </c>
      <c r="F8" s="20" t="inlineStr">
        <is>
          <t>Бүхэл тооны үржүүлэх, хуваах үйлдэл</t>
        </is>
      </c>
      <c r="G8" s="20" t="n">
        <v>10</v>
      </c>
      <c r="H8" s="20" t="n">
        <v>11</v>
      </c>
      <c r="I8" s="20" t="n">
        <v>1</v>
      </c>
    </row>
    <row r="9">
      <c r="A9" s="19" t="inlineStr">
        <is>
          <t>БОДИТ</t>
        </is>
      </c>
      <c r="B9" s="20" t="inlineStr">
        <is>
          <t>G06-MATH-MN</t>
        </is>
      </c>
      <c r="C9" s="20" t="inlineStr">
        <is>
          <t>Математик VI</t>
        </is>
      </c>
      <c r="D9" s="20" t="n">
        <v>4</v>
      </c>
      <c r="E9" s="20" t="inlineStr">
        <is>
          <t>I.4</t>
        </is>
      </c>
      <c r="F9" s="20" t="inlineStr">
        <is>
          <t>4, 6 ба 8-д хуваагдах тооны шинж</t>
        </is>
      </c>
      <c r="G9" s="20" t="n">
        <v>12</v>
      </c>
      <c r="H9" s="20" t="n">
        <v>13</v>
      </c>
      <c r="I9" s="20" t="n">
        <v>1</v>
      </c>
    </row>
    <row r="10">
      <c r="A10" s="19" t="inlineStr">
        <is>
          <t>БОДИТ</t>
        </is>
      </c>
      <c r="B10" s="20" t="inlineStr">
        <is>
          <t>G06-MATH-MN</t>
        </is>
      </c>
      <c r="C10" s="20" t="inlineStr">
        <is>
          <t>Математик VI</t>
        </is>
      </c>
      <c r="D10" s="20" t="n">
        <v>5</v>
      </c>
      <c r="E10" s="20" t="inlineStr">
        <is>
          <t>I.5</t>
        </is>
      </c>
      <c r="F10" s="10" t="inlineStr">
        <is>
          <t>Ерөнхий хуваагч ба хамгийн их ерөнхий хуваагч</t>
        </is>
      </c>
      <c r="G10" s="20" t="n">
        <v>14</v>
      </c>
      <c r="H10" s="20" t="n">
        <v>14</v>
      </c>
      <c r="I10" s="20" t="n">
        <v>1</v>
      </c>
    </row>
    <row r="11">
      <c r="A11" s="19" t="inlineStr">
        <is>
          <t>БОДИТ</t>
        </is>
      </c>
      <c r="B11" s="20" t="inlineStr">
        <is>
          <t>G06-MATH-MN</t>
        </is>
      </c>
      <c r="C11" s="20" t="inlineStr">
        <is>
          <t>Математик VI</t>
        </is>
      </c>
      <c r="D11" s="20" t="n">
        <v>6</v>
      </c>
      <c r="E11" s="20" t="inlineStr">
        <is>
          <t>I.6</t>
        </is>
      </c>
      <c r="F11" s="10" t="inlineStr">
        <is>
          <t>Ерөнхий хуваагдагч ба хамгийн бага ерөнхий хуваагдагч</t>
        </is>
      </c>
      <c r="G11" s="20" t="n">
        <v>15</v>
      </c>
      <c r="H11" s="20" t="n">
        <v>16</v>
      </c>
      <c r="I11" s="20" t="n">
        <v>1</v>
      </c>
    </row>
    <row r="12">
      <c r="A12" s="19" t="inlineStr">
        <is>
          <t>БОДИТ</t>
        </is>
      </c>
      <c r="B12" s="20" t="inlineStr">
        <is>
          <t>G06-MATH-MN</t>
        </is>
      </c>
      <c r="C12" s="20" t="inlineStr">
        <is>
          <t>Математик VI</t>
        </is>
      </c>
      <c r="D12" s="20" t="n">
        <v>7</v>
      </c>
      <c r="E12" s="20" t="inlineStr">
        <is>
          <t>I.7</t>
        </is>
      </c>
      <c r="F12" s="20" t="inlineStr">
        <is>
          <t>Анхны тоо</t>
        </is>
      </c>
      <c r="G12" s="20" t="n">
        <v>17</v>
      </c>
      <c r="H12" s="20" t="n">
        <v>17</v>
      </c>
      <c r="I12" s="20" t="n">
        <v>1</v>
      </c>
    </row>
    <row r="13">
      <c r="A13" s="19" t="inlineStr">
        <is>
          <t>БОДИТ</t>
        </is>
      </c>
      <c r="B13" s="20" t="inlineStr">
        <is>
          <t>G06-MATH-MN</t>
        </is>
      </c>
      <c r="C13" s="20" t="inlineStr">
        <is>
          <t>Математик VI</t>
        </is>
      </c>
      <c r="D13" s="20" t="n">
        <v>8</v>
      </c>
      <c r="E13" s="20" t="inlineStr">
        <is>
          <t>I.8</t>
        </is>
      </c>
      <c r="F13" s="20" t="inlineStr">
        <is>
          <t>Тооны квадрат зэрэг ба квадрат язгуур</t>
        </is>
      </c>
      <c r="G13" s="20" t="n">
        <v>18</v>
      </c>
      <c r="H13" s="20" t="n">
        <v>19</v>
      </c>
      <c r="I13" s="20" t="n">
        <v>1</v>
      </c>
    </row>
    <row r="14">
      <c r="A14" s="19" t="inlineStr">
        <is>
          <t>БОДИТ</t>
        </is>
      </c>
      <c r="B14" s="20" t="inlineStr">
        <is>
          <t>G06-MATH-MN</t>
        </is>
      </c>
      <c r="C14" s="20" t="inlineStr">
        <is>
          <t>Математик VI</t>
        </is>
      </c>
      <c r="D14" s="20" t="n">
        <v>9</v>
      </c>
      <c r="E14" s="20" t="inlineStr">
        <is>
          <t>I.9</t>
        </is>
      </c>
      <c r="F14" s="20" t="inlineStr">
        <is>
          <t>Хэллэг</t>
        </is>
      </c>
      <c r="G14" s="20" t="n">
        <v>20</v>
      </c>
      <c r="H14" s="20" t="n">
        <v>20</v>
      </c>
      <c r="I14" s="20" t="n">
        <v>1</v>
      </c>
    </row>
    <row r="15">
      <c r="A15" s="19" t="inlineStr">
        <is>
          <t>БОДИТ</t>
        </is>
      </c>
      <c r="B15" s="20" t="inlineStr">
        <is>
          <t>G06-MATH-MN</t>
        </is>
      </c>
      <c r="C15" s="20" t="inlineStr">
        <is>
          <t>Математик VI</t>
        </is>
      </c>
      <c r="D15" s="20" t="n">
        <v>10</v>
      </c>
      <c r="E15" s="20" t="inlineStr">
        <is>
          <t>I.10</t>
        </is>
      </c>
      <c r="F15" s="20" t="inlineStr">
        <is>
          <t>Олонлог</t>
        </is>
      </c>
      <c r="G15" s="20" t="n">
        <v>21</v>
      </c>
      <c r="H15" s="20" t="n">
        <v>22</v>
      </c>
      <c r="I15" s="20" t="n">
        <v>1</v>
      </c>
    </row>
    <row r="16">
      <c r="A16" s="19" t="inlineStr">
        <is>
          <t>БОДИТ</t>
        </is>
      </c>
      <c r="B16" s="20" t="inlineStr">
        <is>
          <t>G06-MATH-MN</t>
        </is>
      </c>
      <c r="C16" s="20" t="inlineStr">
        <is>
          <t>Математик VI</t>
        </is>
      </c>
      <c r="D16" s="20" t="n">
        <v>11</v>
      </c>
      <c r="E16" s="20" t="inlineStr">
        <is>
          <t>II.1</t>
        </is>
      </c>
      <c r="F16" s="20" t="inlineStr">
        <is>
          <t>Тоог жиших, эрэмбэлэх</t>
        </is>
      </c>
      <c r="G16" s="20" t="n">
        <v>23</v>
      </c>
      <c r="H16" s="20" t="n">
        <v>24</v>
      </c>
      <c r="I16" s="20" t="n">
        <v>1</v>
      </c>
    </row>
    <row r="17">
      <c r="A17" s="19" t="inlineStr">
        <is>
          <t>БОДИТ</t>
        </is>
      </c>
      <c r="B17" s="20" t="inlineStr">
        <is>
          <t>G06-MATH-MN</t>
        </is>
      </c>
      <c r="C17" s="20" t="inlineStr">
        <is>
          <t>Математик VI</t>
        </is>
      </c>
      <c r="D17" s="20" t="n">
        <v>12</v>
      </c>
      <c r="E17" s="20" t="inlineStr">
        <is>
          <t>II.2</t>
        </is>
      </c>
      <c r="F17" s="20" t="inlineStr">
        <is>
          <t>Тоог тоймлох</t>
        </is>
      </c>
      <c r="G17" s="20" t="n">
        <v>25</v>
      </c>
      <c r="H17" s="20" t="n">
        <v>28</v>
      </c>
      <c r="I17" s="20" t="n">
        <v>1</v>
      </c>
    </row>
    <row r="18">
      <c r="A18" s="19" t="inlineStr">
        <is>
          <t>БОДИТ</t>
        </is>
      </c>
      <c r="B18" s="20" t="inlineStr">
        <is>
          <t>G06-MATH-MN</t>
        </is>
      </c>
      <c r="C18" s="20" t="inlineStr">
        <is>
          <t>Математик VI</t>
        </is>
      </c>
      <c r="D18" s="20" t="n">
        <v>13</v>
      </c>
      <c r="E18" s="20" t="inlineStr">
        <is>
          <t>II.3</t>
        </is>
      </c>
      <c r="F18" s="20" t="inlineStr">
        <is>
          <t>Өөрийгөө сориорой</t>
        </is>
      </c>
      <c r="G18" s="20" t="n">
        <v>29</v>
      </c>
      <c r="H18" s="20" t="n">
        <v>29</v>
      </c>
      <c r="I18" s="20" t="n">
        <v>1</v>
      </c>
    </row>
    <row r="19">
      <c r="A19" s="19" t="inlineStr">
        <is>
          <t>БОДИТ</t>
        </is>
      </c>
      <c r="B19" s="20" t="inlineStr">
        <is>
          <t>G06-MATH-MN</t>
        </is>
      </c>
      <c r="C19" s="20" t="inlineStr">
        <is>
          <t>Математик VI</t>
        </is>
      </c>
      <c r="D19" s="20" t="n">
        <v>14</v>
      </c>
      <c r="E19" s="20" t="inlineStr">
        <is>
          <t>II.4</t>
        </is>
      </c>
      <c r="F19" s="20" t="inlineStr">
        <is>
          <t>Аравтын бутархайн нэмэх, хасах үйлдэл</t>
        </is>
      </c>
      <c r="G19" s="20" t="n">
        <v>30</v>
      </c>
      <c r="H19" s="20" t="n">
        <v>31</v>
      </c>
      <c r="I19" s="20" t="n">
        <v>1</v>
      </c>
    </row>
    <row r="20">
      <c r="A20" s="19" t="inlineStr">
        <is>
          <t>БОДИТ</t>
        </is>
      </c>
      <c r="B20" s="20" t="inlineStr">
        <is>
          <t>G06-MATH-MN</t>
        </is>
      </c>
      <c r="C20" s="20" t="inlineStr">
        <is>
          <t>Математик VI</t>
        </is>
      </c>
      <c r="D20" s="20" t="n">
        <v>15</v>
      </c>
      <c r="E20" s="20" t="inlineStr">
        <is>
          <t>II.5</t>
        </is>
      </c>
      <c r="F20" s="10" t="inlineStr">
        <is>
          <t>Аравтын бутархайг бүхэл тоогоор үржүүлэх, бүхэл тоонд хуваах</t>
        </is>
      </c>
      <c r="G20" s="20" t="n">
        <v>32</v>
      </c>
      <c r="H20" s="20" t="n">
        <v>35</v>
      </c>
      <c r="I20" s="20" t="n">
        <v>1</v>
      </c>
    </row>
    <row r="21">
      <c r="A21" s="19" t="inlineStr">
        <is>
          <t>БОДИТ</t>
        </is>
      </c>
      <c r="B21" s="20" t="inlineStr">
        <is>
          <t>G06-MATH-MN</t>
        </is>
      </c>
      <c r="C21" s="20" t="inlineStr">
        <is>
          <t>Математик VI</t>
        </is>
      </c>
      <c r="D21" s="20" t="n">
        <v>16</v>
      </c>
      <c r="E21" s="20" t="inlineStr">
        <is>
          <t>II.6</t>
        </is>
      </c>
      <c r="F21" s="10" t="inlineStr">
        <is>
          <t>Аравтын бутархайн үржүүлэх, хуваах үйлдэл</t>
        </is>
      </c>
      <c r="G21" s="20" t="n">
        <v>36</v>
      </c>
      <c r="H21" s="20" t="n">
        <v>38</v>
      </c>
      <c r="I21" s="20" t="n">
        <v>1</v>
      </c>
    </row>
    <row r="22">
      <c r="A22" s="19" t="inlineStr">
        <is>
          <t>БОДИТ</t>
        </is>
      </c>
      <c r="B22" s="20" t="inlineStr">
        <is>
          <t>G06-MATH-MN</t>
        </is>
      </c>
      <c r="C22" s="20" t="inlineStr">
        <is>
          <t>Математик VI</t>
        </is>
      </c>
      <c r="D22" s="20" t="n">
        <v>17</v>
      </c>
      <c r="E22" s="20" t="inlineStr">
        <is>
          <t>II.7</t>
        </is>
      </c>
      <c r="F22" s="20" t="inlineStr">
        <is>
          <t>Хялбар аргаар тооцоолох</t>
        </is>
      </c>
      <c r="G22" s="20" t="n">
        <v>39</v>
      </c>
      <c r="H22" s="20" t="n">
        <v>39</v>
      </c>
      <c r="I22" s="20" t="n">
        <v>1</v>
      </c>
    </row>
    <row r="23">
      <c r="A23" s="19" t="inlineStr">
        <is>
          <t>БОДИТ</t>
        </is>
      </c>
      <c r="B23" s="20" t="inlineStr">
        <is>
          <t>G06-MATH-MN</t>
        </is>
      </c>
      <c r="C23" s="20" t="inlineStr">
        <is>
          <t>Математик VI</t>
        </is>
      </c>
      <c r="D23" s="20" t="n">
        <v>18</v>
      </c>
      <c r="E23" s="20" t="inlineStr">
        <is>
          <t>II.8</t>
        </is>
      </c>
      <c r="F23" s="20" t="inlineStr">
        <is>
          <t>Энгийн бутархайг хураах, жиших</t>
        </is>
      </c>
      <c r="G23" s="20" t="n">
        <v>40</v>
      </c>
      <c r="H23" s="20" t="n">
        <v>42</v>
      </c>
      <c r="I23" s="20" t="n">
        <v>1</v>
      </c>
    </row>
    <row r="24">
      <c r="A24" s="19" t="inlineStr">
        <is>
          <t>БОДИТ</t>
        </is>
      </c>
      <c r="B24" s="20" t="inlineStr">
        <is>
          <t>G06-MATH-MN</t>
        </is>
      </c>
      <c r="C24" s="20" t="inlineStr">
        <is>
          <t>Математик VI</t>
        </is>
      </c>
      <c r="D24" s="20" t="n">
        <v>19</v>
      </c>
      <c r="E24" s="20" t="inlineStr">
        <is>
          <t>II.9</t>
        </is>
      </c>
      <c r="F24" s="20" t="inlineStr">
        <is>
          <t>Энгийн бутархайн нэмэх, хасах үйлдэл</t>
        </is>
      </c>
      <c r="G24" s="20" t="n">
        <v>43</v>
      </c>
      <c r="H24" s="20" t="n">
        <v>45</v>
      </c>
      <c r="I24" s="20" t="n">
        <v>1</v>
      </c>
    </row>
    <row r="25">
      <c r="A25" s="19" t="inlineStr">
        <is>
          <t>БОДИТ</t>
        </is>
      </c>
      <c r="B25" s="20" t="inlineStr">
        <is>
          <t>G06-MATH-MN</t>
        </is>
      </c>
      <c r="C25" s="20" t="inlineStr">
        <is>
          <t>Математик VI</t>
        </is>
      </c>
      <c r="D25" s="20" t="n">
        <v>20</v>
      </c>
      <c r="E25" s="20" t="inlineStr">
        <is>
          <t>II.10</t>
        </is>
      </c>
      <c r="F25" s="20" t="inlineStr">
        <is>
          <t>Энгийн бутархайн үржүүлэх үйлдэл</t>
        </is>
      </c>
      <c r="G25" s="20" t="n">
        <v>46</v>
      </c>
      <c r="H25" s="20" t="n">
        <v>48</v>
      </c>
      <c r="I25" s="20" t="n">
        <v>1</v>
      </c>
    </row>
    <row r="26">
      <c r="A26" s="19" t="inlineStr">
        <is>
          <t>БОДИТ</t>
        </is>
      </c>
      <c r="B26" s="20" t="inlineStr">
        <is>
          <t>G06-MATH-MN</t>
        </is>
      </c>
      <c r="C26" s="20" t="inlineStr">
        <is>
          <t>Математик VI</t>
        </is>
      </c>
      <c r="D26" s="20" t="n">
        <v>21</v>
      </c>
      <c r="E26" s="20" t="inlineStr">
        <is>
          <t>II.11</t>
        </is>
      </c>
      <c r="F26" s="20" t="inlineStr">
        <is>
          <t>Энгийн бутархайн хуваах үйлдэл</t>
        </is>
      </c>
      <c r="G26" s="20" t="n">
        <v>49</v>
      </c>
      <c r="H26" s="20" t="n">
        <v>50</v>
      </c>
      <c r="I26" s="20" t="n">
        <v>1</v>
      </c>
    </row>
    <row r="27">
      <c r="A27" s="19" t="inlineStr">
        <is>
          <t>БОДИТ</t>
        </is>
      </c>
      <c r="B27" s="20" t="inlineStr">
        <is>
          <t>G06-MATH-MN</t>
        </is>
      </c>
      <c r="C27" s="20" t="inlineStr">
        <is>
          <t>Математик VI</t>
        </is>
      </c>
      <c r="D27" s="20" t="n">
        <v>22</v>
      </c>
      <c r="E27" s="20" t="inlineStr">
        <is>
          <t>II.12</t>
        </is>
      </c>
      <c r="F27" s="20" t="inlineStr">
        <is>
          <t>Процент</t>
        </is>
      </c>
      <c r="G27" s="20" t="n">
        <v>51</v>
      </c>
      <c r="H27" s="20" t="n">
        <v>53</v>
      </c>
      <c r="I27" s="20" t="n">
        <v>1</v>
      </c>
    </row>
    <row r="28">
      <c r="A28" s="19" t="inlineStr">
        <is>
          <t>БОДИТ</t>
        </is>
      </c>
      <c r="B28" s="20" t="inlineStr">
        <is>
          <t>G06-MATH-MN</t>
        </is>
      </c>
      <c r="C28" s="20" t="inlineStr">
        <is>
          <t>Математик VI</t>
        </is>
      </c>
      <c r="D28" s="20" t="n">
        <v>23</v>
      </c>
      <c r="E28" s="20" t="inlineStr">
        <is>
          <t>II.13</t>
        </is>
      </c>
      <c r="F28" s="20" t="inlineStr">
        <is>
          <t>Өөрийгөө сориорой</t>
        </is>
      </c>
      <c r="G28" s="20" t="n">
        <v>54</v>
      </c>
      <c r="H28" s="20" t="n">
        <v>54</v>
      </c>
      <c r="I28" s="20" t="n">
        <v>1</v>
      </c>
    </row>
    <row r="29">
      <c r="A29" s="19" t="inlineStr">
        <is>
          <t>БОДИТ</t>
        </is>
      </c>
      <c r="B29" s="20" t="inlineStr">
        <is>
          <t>G06-MATH-MN</t>
        </is>
      </c>
      <c r="C29" s="20" t="inlineStr">
        <is>
          <t>Математик VI</t>
        </is>
      </c>
      <c r="D29" s="20" t="n">
        <v>24</v>
      </c>
      <c r="E29" s="20" t="inlineStr">
        <is>
          <t>III.1</t>
        </is>
      </c>
      <c r="F29" s="20" t="inlineStr">
        <is>
          <t>Тоог өгсөн харьцаагаар хуваах</t>
        </is>
      </c>
      <c r="G29" s="20" t="n">
        <v>55</v>
      </c>
      <c r="H29" s="20" t="n">
        <v>56</v>
      </c>
      <c r="I29" s="20" t="n">
        <v>1</v>
      </c>
    </row>
    <row r="30">
      <c r="A30" s="19" t="inlineStr">
        <is>
          <t>БОДИТ</t>
        </is>
      </c>
      <c r="B30" s="20" t="inlineStr">
        <is>
          <t>G06-MATH-MN</t>
        </is>
      </c>
      <c r="C30" s="20" t="inlineStr">
        <is>
          <t>Математик VI</t>
        </is>
      </c>
      <c r="D30" s="20" t="n">
        <v>25</v>
      </c>
      <c r="E30" s="20" t="inlineStr">
        <is>
          <t>III.2</t>
        </is>
      </c>
      <c r="F30" s="20" t="inlineStr">
        <is>
          <t>Пропорцын үндсэн чанар</t>
        </is>
      </c>
      <c r="G30" s="20" t="n">
        <v>57</v>
      </c>
      <c r="H30" s="20" t="n">
        <v>58</v>
      </c>
      <c r="I30" s="20" t="n">
        <v>1</v>
      </c>
    </row>
    <row r="31">
      <c r="A31" s="19" t="inlineStr">
        <is>
          <t>БОДИТ</t>
        </is>
      </c>
      <c r="B31" s="20" t="inlineStr">
        <is>
          <t>G06-MATH-MN</t>
        </is>
      </c>
      <c r="C31" s="20" t="inlineStr">
        <is>
          <t>Математик VI</t>
        </is>
      </c>
      <c r="D31" s="20" t="n">
        <v>26</v>
      </c>
      <c r="E31" s="20" t="inlineStr">
        <is>
          <t>III.3</t>
        </is>
      </c>
      <c r="F31" s="20" t="inlineStr">
        <is>
          <t>Шууд пропорционал хамаарал</t>
        </is>
      </c>
      <c r="G31" s="20" t="n">
        <v>59</v>
      </c>
      <c r="H31" s="20" t="n">
        <v>60</v>
      </c>
      <c r="I31" s="20" t="n">
        <v>1</v>
      </c>
    </row>
    <row r="32">
      <c r="A32" s="19" t="inlineStr">
        <is>
          <t>БОДИТ</t>
        </is>
      </c>
      <c r="B32" s="20" t="inlineStr">
        <is>
          <t>G06-MATH-MN</t>
        </is>
      </c>
      <c r="C32" s="20" t="inlineStr">
        <is>
          <t>Математик VI</t>
        </is>
      </c>
      <c r="D32" s="20" t="n">
        <v>27</v>
      </c>
      <c r="E32" s="20" t="inlineStr">
        <is>
          <t>IV.1</t>
        </is>
      </c>
      <c r="F32" s="20" t="inlineStr">
        <is>
          <t>Үржвэр ба нийлбэрийн зарчим</t>
        </is>
      </c>
      <c r="G32" s="20" t="n">
        <v>61</v>
      </c>
      <c r="H32" s="20" t="n">
        <v>63</v>
      </c>
      <c r="I32" s="20" t="n">
        <v>2</v>
      </c>
    </row>
    <row r="33">
      <c r="A33" s="19" t="inlineStr">
        <is>
          <t>БОДИТ</t>
        </is>
      </c>
      <c r="B33" s="20" t="inlineStr">
        <is>
          <t>G06-MATH-MN</t>
        </is>
      </c>
      <c r="C33" s="20" t="inlineStr">
        <is>
          <t>Математик VI</t>
        </is>
      </c>
      <c r="D33" s="20" t="n">
        <v>28</v>
      </c>
      <c r="E33" s="20" t="inlineStr">
        <is>
          <t>IV.2</t>
        </is>
      </c>
      <c r="F33" s="20" t="inlineStr">
        <is>
          <t>Үзэгдлийн магадлал</t>
        </is>
      </c>
      <c r="G33" s="20" t="n">
        <v>64</v>
      </c>
      <c r="H33" s="20" t="n">
        <v>68</v>
      </c>
      <c r="I33" s="20" t="n">
        <v>2</v>
      </c>
    </row>
    <row r="34">
      <c r="A34" s="19" t="inlineStr">
        <is>
          <t>БОДИТ</t>
        </is>
      </c>
      <c r="B34" s="20" t="inlineStr">
        <is>
          <t>G06-MATH-MN</t>
        </is>
      </c>
      <c r="C34" s="20" t="inlineStr">
        <is>
          <t>Математик VI</t>
        </is>
      </c>
      <c r="D34" s="20" t="n">
        <v>29</v>
      </c>
      <c r="E34" s="20" t="inlineStr">
        <is>
          <t>IV.3</t>
        </is>
      </c>
      <c r="F34" s="20" t="inlineStr">
        <is>
          <t>Өөрийгөө сориорой</t>
        </is>
      </c>
      <c r="G34" s="20" t="n">
        <v>69</v>
      </c>
      <c r="H34" s="20" t="n">
        <v>69</v>
      </c>
      <c r="I34" s="20" t="n">
        <v>2</v>
      </c>
    </row>
    <row r="35">
      <c r="A35" s="19" t="inlineStr">
        <is>
          <t>БОДИТ</t>
        </is>
      </c>
      <c r="B35" s="20" t="inlineStr">
        <is>
          <t>G06-MATH-MN</t>
        </is>
      </c>
      <c r="C35" s="20" t="inlineStr">
        <is>
          <t>Математик VI</t>
        </is>
      </c>
      <c r="D35" s="20" t="n">
        <v>30</v>
      </c>
      <c r="E35" s="20" t="inlineStr">
        <is>
          <t>V.1</t>
        </is>
      </c>
      <c r="F35" s="10" t="inlineStr">
        <is>
          <t>Алгебрын илэрхийлэл зохиох, түүний утгыг олох</t>
        </is>
      </c>
      <c r="G35" s="20" t="n">
        <v>70</v>
      </c>
      <c r="H35" s="20" t="n">
        <v>71</v>
      </c>
      <c r="I35" s="20" t="n">
        <v>2</v>
      </c>
    </row>
    <row r="36">
      <c r="A36" s="19" t="inlineStr">
        <is>
          <t>БОДИТ</t>
        </is>
      </c>
      <c r="B36" s="20" t="inlineStr">
        <is>
          <t>G06-MATH-MN</t>
        </is>
      </c>
      <c r="C36" s="20" t="inlineStr">
        <is>
          <t>Математик VI</t>
        </is>
      </c>
      <c r="D36" s="20" t="n">
        <v>31</v>
      </c>
      <c r="E36" s="20" t="inlineStr">
        <is>
          <t>V.2</t>
        </is>
      </c>
      <c r="F36" s="20" t="inlineStr">
        <is>
          <t>Алгебрын илэрхийллийг хялбарчлах</t>
        </is>
      </c>
      <c r="G36" s="20" t="n">
        <v>72</v>
      </c>
      <c r="H36" s="20" t="n">
        <v>73</v>
      </c>
      <c r="I36" s="20" t="n">
        <v>2</v>
      </c>
    </row>
    <row r="37">
      <c r="A37" s="19" t="inlineStr">
        <is>
          <t>БОДИТ</t>
        </is>
      </c>
      <c r="B37" s="20" t="inlineStr">
        <is>
          <t>G06-MATH-MN</t>
        </is>
      </c>
      <c r="C37" s="20" t="inlineStr">
        <is>
          <t>Математик VI</t>
        </is>
      </c>
      <c r="D37" s="20" t="n">
        <v>32</v>
      </c>
      <c r="E37" s="20" t="inlineStr">
        <is>
          <t>V.3</t>
        </is>
      </c>
      <c r="F37" s="10" t="inlineStr">
        <is>
          <t>Гишүүнчлэн үржүүлэх ба хаалтаас ерөнхий үржигдэхүүн гаргах</t>
        </is>
      </c>
      <c r="G37" s="20" t="n">
        <v>74</v>
      </c>
      <c r="H37" s="20" t="n">
        <v>76</v>
      </c>
      <c r="I37" s="20" t="n">
        <v>2</v>
      </c>
    </row>
    <row r="38">
      <c r="A38" s="19" t="inlineStr">
        <is>
          <t>БОДИТ</t>
        </is>
      </c>
      <c r="B38" s="20" t="inlineStr">
        <is>
          <t>G06-MATH-MN</t>
        </is>
      </c>
      <c r="C38" s="20" t="inlineStr">
        <is>
          <t>Математик VI</t>
        </is>
      </c>
      <c r="D38" s="20" t="n">
        <v>33</v>
      </c>
      <c r="E38" s="20" t="inlineStr">
        <is>
          <t>V.4</t>
        </is>
      </c>
      <c r="F38" s="20" t="inlineStr">
        <is>
          <t>Шугаман тэгшитгэл</t>
        </is>
      </c>
      <c r="G38" s="20" t="n">
        <v>77</v>
      </c>
      <c r="H38" s="20" t="n">
        <v>81</v>
      </c>
      <c r="I38" s="20" t="n">
        <v>2</v>
      </c>
    </row>
    <row r="39">
      <c r="A39" s="19" t="inlineStr">
        <is>
          <t>БОДИТ</t>
        </is>
      </c>
      <c r="B39" s="20" t="inlineStr">
        <is>
          <t>G06-MATH-MN</t>
        </is>
      </c>
      <c r="C39" s="20" t="inlineStr">
        <is>
          <t>Математик VI</t>
        </is>
      </c>
      <c r="D39" s="20" t="n">
        <v>34</v>
      </c>
      <c r="E39" s="20" t="inlineStr">
        <is>
          <t>V.5</t>
        </is>
      </c>
      <c r="F39" s="20" t="inlineStr">
        <is>
          <t>Өөрийгөө сориорой</t>
        </is>
      </c>
      <c r="G39" s="20" t="n">
        <v>82</v>
      </c>
      <c r="H39" s="20" t="n">
        <v>82</v>
      </c>
      <c r="I39" s="20" t="n">
        <v>2</v>
      </c>
    </row>
    <row r="40">
      <c r="A40" s="19" t="inlineStr">
        <is>
          <t>БОДИТ</t>
        </is>
      </c>
      <c r="B40" s="20" t="inlineStr">
        <is>
          <t>G06-MATH-MN</t>
        </is>
      </c>
      <c r="C40" s="20" t="inlineStr">
        <is>
          <t>Математик VI</t>
        </is>
      </c>
      <c r="D40" s="20" t="n">
        <v>35</v>
      </c>
      <c r="E40" s="20" t="inlineStr">
        <is>
          <t>VI.1</t>
        </is>
      </c>
      <c r="F40" s="20" t="inlineStr">
        <is>
          <t>Дүрсэн дараалал</t>
        </is>
      </c>
      <c r="G40" s="20" t="n">
        <v>83</v>
      </c>
      <c r="H40" s="20" t="n">
        <v>84</v>
      </c>
      <c r="I40" s="20" t="n">
        <v>2</v>
      </c>
    </row>
    <row r="41">
      <c r="A41" s="19" t="inlineStr">
        <is>
          <t>БОДИТ</t>
        </is>
      </c>
      <c r="B41" s="20" t="inlineStr">
        <is>
          <t>G06-MATH-MN</t>
        </is>
      </c>
      <c r="C41" s="20" t="inlineStr">
        <is>
          <t>Математик VI</t>
        </is>
      </c>
      <c r="D41" s="20" t="n">
        <v>36</v>
      </c>
      <c r="E41" s="20" t="inlineStr">
        <is>
          <t>VI.2</t>
        </is>
      </c>
      <c r="F41" s="20" t="inlineStr">
        <is>
          <t>Тоон дараалал</t>
        </is>
      </c>
      <c r="G41" s="20" t="n">
        <v>85</v>
      </c>
      <c r="H41" s="20" t="n">
        <v>86</v>
      </c>
      <c r="I41" s="20" t="n">
        <v>2</v>
      </c>
    </row>
    <row r="42">
      <c r="A42" s="19" t="inlineStr">
        <is>
          <t>БОДИТ</t>
        </is>
      </c>
      <c r="B42" s="20" t="inlineStr">
        <is>
          <t>G06-MATH-MN</t>
        </is>
      </c>
      <c r="C42" s="20" t="inlineStr">
        <is>
          <t>Математик VI</t>
        </is>
      </c>
      <c r="D42" s="20" t="n">
        <v>37</v>
      </c>
      <c r="E42" s="20" t="inlineStr">
        <is>
          <t>VI.3</t>
        </is>
      </c>
      <c r="F42" s="20" t="inlineStr">
        <is>
          <t>Функц</t>
        </is>
      </c>
      <c r="G42" s="20" t="n">
        <v>87</v>
      </c>
      <c r="H42" s="20" t="n">
        <v>87</v>
      </c>
      <c r="I42" s="20" t="n">
        <v>2</v>
      </c>
    </row>
    <row r="43">
      <c r="A43" s="19" t="inlineStr">
        <is>
          <t>БОДИТ</t>
        </is>
      </c>
      <c r="B43" s="20" t="inlineStr">
        <is>
          <t>G06-MATH-MN</t>
        </is>
      </c>
      <c r="C43" s="20" t="inlineStr">
        <is>
          <t>Математик VI</t>
        </is>
      </c>
      <c r="D43" s="20" t="n">
        <v>38</v>
      </c>
      <c r="E43" s="20" t="inlineStr">
        <is>
          <t>VI.4</t>
        </is>
      </c>
      <c r="F43" s="20" t="inlineStr">
        <is>
          <t>Координатын хавтгай</t>
        </is>
      </c>
      <c r="G43" s="20" t="n">
        <v>88</v>
      </c>
      <c r="H43" s="20" t="n">
        <v>89</v>
      </c>
      <c r="I43" s="20" t="n">
        <v>2</v>
      </c>
    </row>
    <row r="44">
      <c r="A44" s="19" t="inlineStr">
        <is>
          <t>БОДИТ</t>
        </is>
      </c>
      <c r="B44" s="20" t="inlineStr">
        <is>
          <t>G06-MATH-MN</t>
        </is>
      </c>
      <c r="C44" s="20" t="inlineStr">
        <is>
          <t>Математик VI</t>
        </is>
      </c>
      <c r="D44" s="20" t="n">
        <v>39</v>
      </c>
      <c r="E44" s="20" t="inlineStr">
        <is>
          <t>VI.5</t>
        </is>
      </c>
      <c r="F44" s="20" t="inlineStr">
        <is>
          <t>Шулууны тэгшитгэл бичих</t>
        </is>
      </c>
      <c r="G44" s="20" t="n">
        <v>90</v>
      </c>
      <c r="H44" s="20" t="n">
        <v>93</v>
      </c>
      <c r="I44" s="20" t="n">
        <v>2</v>
      </c>
    </row>
    <row r="45">
      <c r="A45" s="19" t="inlineStr">
        <is>
          <t>БОДИТ</t>
        </is>
      </c>
      <c r="B45" s="20" t="inlineStr">
        <is>
          <t>G06-MATH-MN</t>
        </is>
      </c>
      <c r="C45" s="20" t="inlineStr">
        <is>
          <t>Математик VI</t>
        </is>
      </c>
      <c r="D45" s="20" t="n">
        <v>40</v>
      </c>
      <c r="E45" s="20" t="inlineStr">
        <is>
          <t>VI.6</t>
        </is>
      </c>
      <c r="F45" s="20" t="inlineStr">
        <is>
          <t>Өөрийгөө сориорой</t>
        </is>
      </c>
      <c r="G45" s="20" t="n">
        <v>94</v>
      </c>
      <c r="H45" s="20" t="n">
        <v>94</v>
      </c>
      <c r="I45" s="20" t="n">
        <v>2</v>
      </c>
    </row>
    <row r="46">
      <c r="A46" s="19" t="inlineStr">
        <is>
          <t>БОДИТ</t>
        </is>
      </c>
      <c r="B46" s="20" t="inlineStr">
        <is>
          <t>G06-MATH-MN</t>
        </is>
      </c>
      <c r="C46" s="20" t="inlineStr">
        <is>
          <t>Математик VI</t>
        </is>
      </c>
      <c r="D46" s="20" t="n">
        <v>41</v>
      </c>
      <c r="E46" s="20" t="inlineStr">
        <is>
          <t>VII.1</t>
        </is>
      </c>
      <c r="F46" s="20" t="inlineStr">
        <is>
          <t>Цэг, шулуун, хэрчим, цацраг</t>
        </is>
      </c>
      <c r="G46" s="20" t="n">
        <v>95</v>
      </c>
      <c r="H46" s="20" t="n">
        <v>96</v>
      </c>
      <c r="I46" s="20" t="n">
        <v>2</v>
      </c>
    </row>
    <row r="47">
      <c r="A47" s="19" t="inlineStr">
        <is>
          <t>БОДИТ</t>
        </is>
      </c>
      <c r="B47" s="20" t="inlineStr">
        <is>
          <t>G06-MATH-MN</t>
        </is>
      </c>
      <c r="C47" s="20" t="inlineStr">
        <is>
          <t>Математик VI</t>
        </is>
      </c>
      <c r="D47" s="20" t="n">
        <v>42</v>
      </c>
      <c r="E47" s="20" t="inlineStr">
        <is>
          <t>VII.2</t>
        </is>
      </c>
      <c r="F47" s="20" t="inlineStr">
        <is>
          <t>Параллел, перпендикуляр шулуун зурах</t>
        </is>
      </c>
      <c r="G47" s="20" t="n">
        <v>97</v>
      </c>
      <c r="H47" s="20" t="n">
        <v>97</v>
      </c>
      <c r="I47" s="20" t="n">
        <v>2</v>
      </c>
    </row>
    <row r="48">
      <c r="A48" s="19" t="inlineStr">
        <is>
          <t>БОДИТ</t>
        </is>
      </c>
      <c r="B48" s="20" t="inlineStr">
        <is>
          <t>G06-MATH-MN</t>
        </is>
      </c>
      <c r="C48" s="20" t="inlineStr">
        <is>
          <t>Математик VI</t>
        </is>
      </c>
      <c r="D48" s="20" t="n">
        <v>43</v>
      </c>
      <c r="E48" s="20" t="inlineStr">
        <is>
          <t>VII.3</t>
        </is>
      </c>
      <c r="F48" s="20" t="inlineStr">
        <is>
          <t>Өнцөг, өнцгийг зурах</t>
        </is>
      </c>
      <c r="G48" s="20" t="n">
        <v>98</v>
      </c>
      <c r="H48" s="20" t="n">
        <v>100</v>
      </c>
      <c r="I48" s="20" t="n">
        <v>2</v>
      </c>
    </row>
    <row r="49">
      <c r="A49" s="19" t="inlineStr">
        <is>
          <t>БОДИТ</t>
        </is>
      </c>
      <c r="B49" s="20" t="inlineStr">
        <is>
          <t>G06-MATH-MN</t>
        </is>
      </c>
      <c r="C49" s="20" t="inlineStr">
        <is>
          <t>Математик VI</t>
        </is>
      </c>
      <c r="D49" s="20" t="n">
        <v>44</v>
      </c>
      <c r="E49" s="20" t="inlineStr">
        <is>
          <t>VII.4</t>
        </is>
      </c>
      <c r="F49" s="20" t="inlineStr">
        <is>
          <t>Хамар ба босоо өнцөг</t>
        </is>
      </c>
      <c r="G49" s="20" t="n">
        <v>101</v>
      </c>
      <c r="H49" s="20" t="n">
        <v>102</v>
      </c>
      <c r="I49" s="20" t="n">
        <v>2</v>
      </c>
    </row>
    <row r="50">
      <c r="A50" s="19" t="inlineStr">
        <is>
          <t>БОДИТ</t>
        </is>
      </c>
      <c r="B50" s="20" t="inlineStr">
        <is>
          <t>G06-MATH-MN</t>
        </is>
      </c>
      <c r="C50" s="20" t="inlineStr">
        <is>
          <t>Математик VI</t>
        </is>
      </c>
      <c r="D50" s="20" t="n">
        <v>45</v>
      </c>
      <c r="E50" s="20" t="inlineStr">
        <is>
          <t>VII.5</t>
        </is>
      </c>
      <c r="F50" s="20" t="inlineStr">
        <is>
          <t>Гурвалжныг өгсөн тал, өнцгөөр нь зурах</t>
        </is>
      </c>
      <c r="G50" s="20" t="n">
        <v>103</v>
      </c>
      <c r="H50" s="20" t="n">
        <v>103</v>
      </c>
      <c r="I50" s="20" t="n">
        <v>2</v>
      </c>
    </row>
    <row r="51">
      <c r="A51" s="19" t="inlineStr">
        <is>
          <t>БОДИТ</t>
        </is>
      </c>
      <c r="B51" s="20" t="inlineStr">
        <is>
          <t>G06-MATH-MN</t>
        </is>
      </c>
      <c r="C51" s="20" t="inlineStr">
        <is>
          <t>Математик VI</t>
        </is>
      </c>
      <c r="D51" s="20" t="n">
        <v>46</v>
      </c>
      <c r="E51" s="20" t="inlineStr">
        <is>
          <t>VII.6</t>
        </is>
      </c>
      <c r="F51" s="20" t="inlineStr">
        <is>
          <t>Гурвалжны дотоод өнцгүүдийн нийлбэр</t>
        </is>
      </c>
      <c r="G51" s="20" t="n">
        <v>104</v>
      </c>
      <c r="H51" s="20" t="n">
        <v>105</v>
      </c>
      <c r="I51" s="20" t="n">
        <v>2</v>
      </c>
    </row>
    <row r="52">
      <c r="A52" s="19" t="inlineStr">
        <is>
          <t>БОДИТ</t>
        </is>
      </c>
      <c r="B52" s="20" t="inlineStr">
        <is>
          <t>G06-MATH-MN</t>
        </is>
      </c>
      <c r="C52" s="20" t="inlineStr">
        <is>
          <t>Математик VI</t>
        </is>
      </c>
      <c r="D52" s="20" t="n">
        <v>47</v>
      </c>
      <c r="E52" s="20" t="inlineStr">
        <is>
          <t>VII.7</t>
        </is>
      </c>
      <c r="F52" s="10" t="inlineStr">
        <is>
          <t>Гүдгэр 4, 5, 6 өнцөгтийн дотоод өнцгүүдийн нийлбэр</t>
        </is>
      </c>
      <c r="G52" s="20" t="n">
        <v>106</v>
      </c>
      <c r="H52" s="20" t="n">
        <v>107</v>
      </c>
      <c r="I52" s="20" t="n">
        <v>2</v>
      </c>
    </row>
    <row r="53">
      <c r="A53" s="19" t="inlineStr">
        <is>
          <t>БОДИТ</t>
        </is>
      </c>
      <c r="B53" s="20" t="inlineStr">
        <is>
          <t>G06-MATH-MN</t>
        </is>
      </c>
      <c r="C53" s="20" t="inlineStr">
        <is>
          <t>Математик VI</t>
        </is>
      </c>
      <c r="D53" s="20" t="n">
        <v>48</v>
      </c>
      <c r="E53" s="20" t="inlineStr">
        <is>
          <t>VII.8</t>
        </is>
      </c>
      <c r="F53" s="20" t="inlineStr">
        <is>
          <t>Гурвалжны тэнцэтгэл биш</t>
        </is>
      </c>
      <c r="G53" s="20" t="n">
        <v>108</v>
      </c>
      <c r="H53" s="20" t="n">
        <v>108</v>
      </c>
      <c r="I53" s="20" t="n">
        <v>2</v>
      </c>
    </row>
    <row r="54">
      <c r="A54" s="19" t="inlineStr">
        <is>
          <t>БОДИТ</t>
        </is>
      </c>
      <c r="B54" s="20" t="inlineStr">
        <is>
          <t>G06-MATH-MN</t>
        </is>
      </c>
      <c r="C54" s="20" t="inlineStr">
        <is>
          <t>Математик VI</t>
        </is>
      </c>
      <c r="D54" s="20" t="n">
        <v>49</v>
      </c>
      <c r="E54" s="20" t="inlineStr">
        <is>
          <t>VII.9</t>
        </is>
      </c>
      <c r="F54" s="20" t="inlineStr">
        <is>
          <t>Олон өнцөгт</t>
        </is>
      </c>
      <c r="G54" s="20" t="n">
        <v>109</v>
      </c>
      <c r="H54" s="20" t="n">
        <v>110</v>
      </c>
      <c r="I54" s="20" t="n">
        <v>2</v>
      </c>
    </row>
    <row r="55">
      <c r="A55" s="19" t="inlineStr">
        <is>
          <t>БОДИТ</t>
        </is>
      </c>
      <c r="B55" s="20" t="inlineStr">
        <is>
          <t>G06-MATH-MN</t>
        </is>
      </c>
      <c r="C55" s="20" t="inlineStr">
        <is>
          <t>Математик VI</t>
        </is>
      </c>
      <c r="D55" s="20" t="n">
        <v>50</v>
      </c>
      <c r="E55" s="20" t="inlineStr">
        <is>
          <t>VII.10</t>
        </is>
      </c>
      <c r="F55" s="20" t="inlineStr">
        <is>
          <t>Дөрвөн өнцөгт</t>
        </is>
      </c>
      <c r="G55" s="20" t="n">
        <v>111</v>
      </c>
      <c r="H55" s="20" t="n">
        <v>113</v>
      </c>
      <c r="I55" s="20" t="n">
        <v>2</v>
      </c>
    </row>
    <row r="56">
      <c r="A56" s="19" t="inlineStr">
        <is>
          <t>БОДИТ</t>
        </is>
      </c>
      <c r="B56" s="20" t="inlineStr">
        <is>
          <t>G06-MATH-MN</t>
        </is>
      </c>
      <c r="C56" s="20" t="inlineStr">
        <is>
          <t>Математик VI</t>
        </is>
      </c>
      <c r="D56" s="20" t="n">
        <v>51</v>
      </c>
      <c r="E56" s="20" t="inlineStr">
        <is>
          <t>VII.11</t>
        </is>
      </c>
      <c r="F56" s="20" t="inlineStr">
        <is>
          <t>Тойрог ба дугуй</t>
        </is>
      </c>
      <c r="G56" s="20" t="n">
        <v>114</v>
      </c>
      <c r="H56" s="20" t="n">
        <v>115</v>
      </c>
      <c r="I56" s="20" t="n">
        <v>2</v>
      </c>
    </row>
    <row r="57">
      <c r="A57" s="19" t="inlineStr">
        <is>
          <t>БОДИТ</t>
        </is>
      </c>
      <c r="B57" s="20" t="inlineStr">
        <is>
          <t>G06-MATH-MN</t>
        </is>
      </c>
      <c r="C57" s="20" t="inlineStr">
        <is>
          <t>Математик VI</t>
        </is>
      </c>
      <c r="D57" s="20" t="n">
        <v>52</v>
      </c>
      <c r="E57" s="20" t="inlineStr">
        <is>
          <t>VII.12</t>
        </is>
      </c>
      <c r="F57" s="20" t="inlineStr">
        <is>
          <t>Биетүүд</t>
        </is>
      </c>
      <c r="G57" s="20" t="n">
        <v>116</v>
      </c>
      <c r="H57" s="20" t="n">
        <v>117</v>
      </c>
      <c r="I57" s="20" t="n">
        <v>2</v>
      </c>
    </row>
    <row r="58">
      <c r="A58" s="19" t="inlineStr">
        <is>
          <t>БОДИТ</t>
        </is>
      </c>
      <c r="B58" s="20" t="inlineStr">
        <is>
          <t>G06-MATH-MN</t>
        </is>
      </c>
      <c r="C58" s="20" t="inlineStr">
        <is>
          <t>Математик VI</t>
        </is>
      </c>
      <c r="D58" s="20" t="n">
        <v>53</v>
      </c>
      <c r="E58" s="20" t="inlineStr">
        <is>
          <t>VII.13</t>
        </is>
      </c>
      <c r="F58" s="20" t="inlineStr">
        <is>
          <t>Өөрийгөө сориорой</t>
        </is>
      </c>
      <c r="G58" s="20" t="n">
        <v>118</v>
      </c>
      <c r="H58" s="20" t="n">
        <v>119</v>
      </c>
      <c r="I58" s="20" t="n">
        <v>2</v>
      </c>
    </row>
    <row r="59">
      <c r="A59" s="19" t="inlineStr">
        <is>
          <t>БОДИТ</t>
        </is>
      </c>
      <c r="B59" s="20" t="inlineStr">
        <is>
          <t>G06-MATH-MN</t>
        </is>
      </c>
      <c r="C59" s="20" t="inlineStr">
        <is>
          <t>Математик VI</t>
        </is>
      </c>
      <c r="D59" s="20" t="n">
        <v>54</v>
      </c>
      <c r="E59" s="20" t="inlineStr">
        <is>
          <t>VIII.1</t>
        </is>
      </c>
      <c r="F59" s="20" t="inlineStr">
        <is>
          <t>Параллел зөөлт</t>
        </is>
      </c>
      <c r="G59" s="20" t="n">
        <v>120</v>
      </c>
      <c r="H59" s="20" t="n">
        <v>120</v>
      </c>
      <c r="I59" s="20" t="n">
        <v>3</v>
      </c>
    </row>
    <row r="60">
      <c r="A60" s="19" t="inlineStr">
        <is>
          <t>БОДИТ</t>
        </is>
      </c>
      <c r="B60" s="20" t="inlineStr">
        <is>
          <t>G06-MATH-MN</t>
        </is>
      </c>
      <c r="C60" s="20" t="inlineStr">
        <is>
          <t>Математик VI</t>
        </is>
      </c>
      <c r="D60" s="20" t="n">
        <v>55</v>
      </c>
      <c r="E60" s="20" t="inlineStr">
        <is>
          <t>VIII.2</t>
        </is>
      </c>
      <c r="F60" s="20" t="inlineStr">
        <is>
          <t>Тэнхлэгийн тэгш хэм</t>
        </is>
      </c>
      <c r="G60" s="20" t="n">
        <v>121</v>
      </c>
      <c r="H60" s="20" t="n">
        <v>123</v>
      </c>
      <c r="I60" s="20" t="n">
        <v>3</v>
      </c>
    </row>
    <row r="61">
      <c r="A61" s="19" t="inlineStr">
        <is>
          <t>БОДИТ</t>
        </is>
      </c>
      <c r="B61" s="20" t="inlineStr">
        <is>
          <t>G06-MATH-MN</t>
        </is>
      </c>
      <c r="C61" s="20" t="inlineStr">
        <is>
          <t>Математик VI</t>
        </is>
      </c>
      <c r="D61" s="20" t="n">
        <v>56</v>
      </c>
      <c r="E61" s="20" t="inlineStr">
        <is>
          <t>VIII.3</t>
        </is>
      </c>
      <c r="F61" s="20" t="inlineStr">
        <is>
          <t>Төвийн тэгш хэм</t>
        </is>
      </c>
      <c r="G61" s="20" t="n">
        <v>124</v>
      </c>
      <c r="H61" s="20" t="n">
        <v>125</v>
      </c>
      <c r="I61" s="20" t="n">
        <v>3</v>
      </c>
    </row>
    <row r="62">
      <c r="A62" s="19" t="inlineStr">
        <is>
          <t>БОДИТ</t>
        </is>
      </c>
      <c r="B62" s="20" t="inlineStr">
        <is>
          <t>G06-MATH-MN</t>
        </is>
      </c>
      <c r="C62" s="20" t="inlineStr">
        <is>
          <t>Математик VI</t>
        </is>
      </c>
      <c r="D62" s="20" t="n">
        <v>57</v>
      </c>
      <c r="E62" s="20" t="inlineStr">
        <is>
          <t>VIII.4</t>
        </is>
      </c>
      <c r="F62" s="20" t="inlineStr">
        <is>
          <t>Тэнцүү дүрс</t>
        </is>
      </c>
      <c r="G62" s="20" t="n">
        <v>126</v>
      </c>
      <c r="H62" s="20" t="n">
        <v>127</v>
      </c>
      <c r="I62" s="20" t="n">
        <v>3</v>
      </c>
    </row>
    <row r="63">
      <c r="A63" s="19" t="inlineStr">
        <is>
          <t>БОДИТ</t>
        </is>
      </c>
      <c r="B63" s="20" t="inlineStr">
        <is>
          <t>G06-MATH-MN</t>
        </is>
      </c>
      <c r="C63" s="20" t="inlineStr">
        <is>
          <t>Математик VI</t>
        </is>
      </c>
      <c r="D63" s="20" t="n">
        <v>58</v>
      </c>
      <c r="E63" s="20" t="inlineStr">
        <is>
          <t>VIII.5</t>
        </is>
      </c>
      <c r="F63" s="20" t="inlineStr">
        <is>
          <t>Өөрийгөө сориорой</t>
        </is>
      </c>
      <c r="G63" s="20" t="n">
        <v>128</v>
      </c>
      <c r="H63" s="20" t="n">
        <v>128</v>
      </c>
      <c r="I63" s="20" t="n">
        <v>3</v>
      </c>
    </row>
    <row r="64">
      <c r="A64" s="19" t="inlineStr">
        <is>
          <t>БОДИТ</t>
        </is>
      </c>
      <c r="B64" s="20" t="inlineStr">
        <is>
          <t>G06-MATH-MN</t>
        </is>
      </c>
      <c r="C64" s="20" t="inlineStr">
        <is>
          <t>Математик VI</t>
        </is>
      </c>
      <c r="D64" s="20" t="n">
        <v>59</v>
      </c>
      <c r="E64" s="20" t="inlineStr">
        <is>
          <t>IX.1</t>
        </is>
      </c>
      <c r="F64" s="20" t="inlineStr">
        <is>
          <t>12 ба 24 цагийн систем, цагийн хуваарь</t>
        </is>
      </c>
      <c r="G64" s="20" t="n">
        <v>129</v>
      </c>
      <c r="H64" s="20" t="n">
        <v>129</v>
      </c>
      <c r="I64" s="20" t="n">
        <v>3</v>
      </c>
    </row>
    <row r="65">
      <c r="A65" s="19" t="inlineStr">
        <is>
          <t>БОДИТ</t>
        </is>
      </c>
      <c r="B65" s="20" t="inlineStr">
        <is>
          <t>G06-MATH-MN</t>
        </is>
      </c>
      <c r="C65" s="20" t="inlineStr">
        <is>
          <t>Математик VI</t>
        </is>
      </c>
      <c r="D65" s="20" t="n">
        <v>60</v>
      </c>
      <c r="E65" s="20" t="inlineStr">
        <is>
          <t>IX.2</t>
        </is>
      </c>
      <c r="F65" s="20" t="inlineStr">
        <is>
          <t>Урт, хүнд, багтаамжийг хэмжих нэгж</t>
        </is>
      </c>
      <c r="G65" s="20" t="n">
        <v>130</v>
      </c>
      <c r="H65" s="20" t="n">
        <v>130</v>
      </c>
      <c r="I65" s="20" t="n">
        <v>3</v>
      </c>
    </row>
    <row r="66">
      <c r="A66" s="19" t="inlineStr">
        <is>
          <t>БОДИТ</t>
        </is>
      </c>
      <c r="B66" s="20" t="inlineStr">
        <is>
          <t>G06-MATH-MN</t>
        </is>
      </c>
      <c r="C66" s="20" t="inlineStr">
        <is>
          <t>Математик VI</t>
        </is>
      </c>
      <c r="D66" s="20" t="n">
        <v>61</v>
      </c>
      <c r="E66" s="20" t="inlineStr">
        <is>
          <t>IX.3</t>
        </is>
      </c>
      <c r="F66" s="20" t="inlineStr">
        <is>
          <t>Аналоги болон дижитал хэмжих нэгж</t>
        </is>
      </c>
      <c r="G66" s="20" t="n">
        <v>131</v>
      </c>
      <c r="H66" s="20" t="n">
        <v>132</v>
      </c>
      <c r="I66" s="20" t="n">
        <v>3</v>
      </c>
    </row>
    <row r="67">
      <c r="A67" s="19" t="inlineStr">
        <is>
          <t>БОДИТ</t>
        </is>
      </c>
      <c r="B67" s="20" t="inlineStr">
        <is>
          <t>G06-MATH-MN</t>
        </is>
      </c>
      <c r="C67" s="20" t="inlineStr">
        <is>
          <t>Математик VI</t>
        </is>
      </c>
      <c r="D67" s="20" t="n">
        <v>62</v>
      </c>
      <c r="E67" s="20" t="inlineStr">
        <is>
          <t>X.1</t>
        </is>
      </c>
      <c r="F67" s="20" t="inlineStr">
        <is>
          <t>Талбайн нэгж</t>
        </is>
      </c>
      <c r="G67" s="20" t="n">
        <v>133</v>
      </c>
      <c r="H67" s="20" t="n">
        <v>133</v>
      </c>
      <c r="I67" s="20" t="n">
        <v>3</v>
      </c>
    </row>
    <row r="68">
      <c r="A68" s="19" t="inlineStr">
        <is>
          <t>БОДИТ</t>
        </is>
      </c>
      <c r="B68" s="20" t="inlineStr">
        <is>
          <t>G06-MATH-MN</t>
        </is>
      </c>
      <c r="C68" s="20" t="inlineStr">
        <is>
          <t>Математик VI</t>
        </is>
      </c>
      <c r="D68" s="20" t="n">
        <v>63</v>
      </c>
      <c r="E68" s="20" t="inlineStr">
        <is>
          <t>X.2</t>
        </is>
      </c>
      <c r="F68" s="20" t="inlineStr">
        <is>
          <t>Тэгш өнцөгтийн периметр ба талбай</t>
        </is>
      </c>
      <c r="G68" s="20" t="n">
        <v>134</v>
      </c>
      <c r="H68" s="20" t="n">
        <v>137</v>
      </c>
      <c r="I68" s="20" t="n">
        <v>3</v>
      </c>
    </row>
    <row r="69">
      <c r="A69" s="19" t="inlineStr">
        <is>
          <t>БОДИТ</t>
        </is>
      </c>
      <c r="B69" s="20" t="inlineStr">
        <is>
          <t>G06-MATH-MN</t>
        </is>
      </c>
      <c r="C69" s="20" t="inlineStr">
        <is>
          <t>Математик VI</t>
        </is>
      </c>
      <c r="D69" s="20" t="n">
        <v>64</v>
      </c>
      <c r="E69" s="20" t="inlineStr">
        <is>
          <t>X.3</t>
        </is>
      </c>
      <c r="F69" s="20" t="inlineStr">
        <is>
          <t>Хэмжигдэхүүн хоорондын хамаарлыг тогтоох</t>
        </is>
      </c>
      <c r="G69" s="20" t="n">
        <v>138</v>
      </c>
      <c r="H69" s="20" t="n">
        <v>139</v>
      </c>
      <c r="I69" s="20" t="n">
        <v>3</v>
      </c>
    </row>
    <row r="70">
      <c r="A70" s="19" t="inlineStr">
        <is>
          <t>БОДИТ</t>
        </is>
      </c>
      <c r="B70" s="20" t="inlineStr">
        <is>
          <t>G06-MATH-MN</t>
        </is>
      </c>
      <c r="C70" s="20" t="inlineStr">
        <is>
          <t>Математик VI</t>
        </is>
      </c>
      <c r="D70" s="20" t="n">
        <v>65</v>
      </c>
      <c r="E70" s="20" t="inlineStr">
        <is>
          <t>X.4</t>
        </is>
      </c>
      <c r="F70" s="10" t="inlineStr">
        <is>
          <t>Тэгш өнцөгт параллелепипедийн гадаргуугийн талбай</t>
        </is>
      </c>
      <c r="G70" s="20" t="n">
        <v>140</v>
      </c>
      <c r="H70" s="20" t="n">
        <v>141</v>
      </c>
      <c r="I70" s="20" t="n">
        <v>3</v>
      </c>
    </row>
    <row r="71">
      <c r="A71" s="19" t="inlineStr">
        <is>
          <t>БОДИТ</t>
        </is>
      </c>
      <c r="B71" s="20" t="inlineStr">
        <is>
          <t>G06-MATH-MN</t>
        </is>
      </c>
      <c r="C71" s="20" t="inlineStr">
        <is>
          <t>Математик VI</t>
        </is>
      </c>
      <c r="D71" s="20" t="n">
        <v>66</v>
      </c>
      <c r="E71" s="20" t="inlineStr">
        <is>
          <t>X.5</t>
        </is>
      </c>
      <c r="F71" s="20" t="inlineStr">
        <is>
          <t>Тэгш өнцөгт параллелепипедийн эзлэхүүн</t>
        </is>
      </c>
      <c r="G71" s="20" t="n">
        <v>142</v>
      </c>
      <c r="H71" s="20" t="n">
        <v>145</v>
      </c>
      <c r="I71" s="20" t="n">
        <v>3</v>
      </c>
    </row>
    <row r="72">
      <c r="A72" s="19" t="inlineStr">
        <is>
          <t>БОДИТ</t>
        </is>
      </c>
      <c r="B72" s="20" t="inlineStr">
        <is>
          <t>G06-MATH-MN</t>
        </is>
      </c>
      <c r="C72" s="20" t="inlineStr">
        <is>
          <t>Математик VI</t>
        </is>
      </c>
      <c r="D72" s="20" t="n">
        <v>67</v>
      </c>
      <c r="E72" s="20" t="inlineStr">
        <is>
          <t>X.6</t>
        </is>
      </c>
      <c r="F72" s="20" t="inlineStr">
        <is>
          <t>Өөрийгөө сориорой</t>
        </is>
      </c>
      <c r="G72" s="20" t="n">
        <v>146</v>
      </c>
      <c r="H72" s="20" t="n">
        <v>146</v>
      </c>
      <c r="I72" s="20" t="n">
        <v>3</v>
      </c>
    </row>
    <row r="73">
      <c r="A73" s="19" t="inlineStr">
        <is>
          <t>БОДИТ</t>
        </is>
      </c>
      <c r="B73" s="20" t="inlineStr">
        <is>
          <t>G06-MATH-MN</t>
        </is>
      </c>
      <c r="C73" s="20" t="inlineStr">
        <is>
          <t>Математик VI</t>
        </is>
      </c>
      <c r="D73" s="20" t="n">
        <v>68</v>
      </c>
      <c r="E73" s="20" t="inlineStr">
        <is>
          <t>XI.1</t>
        </is>
      </c>
      <c r="F73" s="20" t="inlineStr">
        <is>
          <t>Өгөгдөл цуглуулах, бүртгэх</t>
        </is>
      </c>
      <c r="G73" s="20" t="n">
        <v>147</v>
      </c>
      <c r="H73" s="20" t="n">
        <v>147</v>
      </c>
      <c r="I73" s="20" t="n">
        <v>3</v>
      </c>
    </row>
    <row r="74">
      <c r="A74" s="19" t="inlineStr">
        <is>
          <t>БОДИТ</t>
        </is>
      </c>
      <c r="B74" s="20" t="inlineStr">
        <is>
          <t>G06-MATH-MN</t>
        </is>
      </c>
      <c r="C74" s="20" t="inlineStr">
        <is>
          <t>Математик VI</t>
        </is>
      </c>
      <c r="D74" s="20" t="n">
        <v>69</v>
      </c>
      <c r="E74" s="20" t="inlineStr">
        <is>
          <t>XI.2</t>
        </is>
      </c>
      <c r="F74" s="20" t="inlineStr">
        <is>
          <t>Өгөгдлийг дүрслэх</t>
        </is>
      </c>
      <c r="G74" s="20" t="n">
        <v>148</v>
      </c>
      <c r="H74" s="20" t="n">
        <v>152</v>
      </c>
      <c r="I74" s="20" t="n">
        <v>3</v>
      </c>
    </row>
    <row r="75">
      <c r="A75" s="19" t="inlineStr">
        <is>
          <t>БОДИТ</t>
        </is>
      </c>
      <c r="B75" s="20" t="inlineStr">
        <is>
          <t>G06-MATH-MN</t>
        </is>
      </c>
      <c r="C75" s="20" t="inlineStr">
        <is>
          <t>Математик VI</t>
        </is>
      </c>
      <c r="D75" s="20" t="n">
        <v>70</v>
      </c>
      <c r="E75" s="20" t="inlineStr">
        <is>
          <t>XII.1</t>
        </is>
      </c>
      <c r="F75" s="20" t="inlineStr">
        <is>
          <t>Дунджууд ба далайц</t>
        </is>
      </c>
      <c r="G75" s="20" t="n">
        <v>153</v>
      </c>
      <c r="H75" s="20" t="n">
        <v>155</v>
      </c>
      <c r="I75" s="20" t="n">
        <v>3</v>
      </c>
    </row>
    <row r="76">
      <c r="A76" s="19" t="inlineStr">
        <is>
          <t>БОДИТ</t>
        </is>
      </c>
      <c r="B76" s="20" t="inlineStr">
        <is>
          <t>G06-MATH-MN</t>
        </is>
      </c>
      <c r="C76" s="20" t="inlineStr">
        <is>
          <t>Математик VI</t>
        </is>
      </c>
      <c r="D76" s="20" t="n">
        <v>71</v>
      </c>
      <c r="E76" s="20" t="inlineStr">
        <is>
          <t>XII.2</t>
        </is>
      </c>
      <c r="F76" s="10" t="inlineStr">
        <is>
          <t>Хүснэгт, диаграмм, графикийг унших, тайлбарлах</t>
        </is>
      </c>
      <c r="G76" s="20" t="n">
        <v>156</v>
      </c>
      <c r="H76" s="20" t="n">
        <v>160</v>
      </c>
      <c r="I76" s="20" t="n">
        <v>3</v>
      </c>
    </row>
    <row r="77">
      <c r="A77" s="19" t="inlineStr">
        <is>
          <t>БОДИТ</t>
        </is>
      </c>
      <c r="B77" s="20" t="inlineStr">
        <is>
          <t>G06-MATH-MN</t>
        </is>
      </c>
      <c r="C77" s="20" t="inlineStr">
        <is>
          <t>Математик VI</t>
        </is>
      </c>
      <c r="D77" s="20" t="n">
        <v>72</v>
      </c>
      <c r="E77" s="20" t="inlineStr">
        <is>
          <t>XII.3</t>
        </is>
      </c>
      <c r="F77" s="20" t="inlineStr">
        <is>
          <t>Өөрийгөө сориорой</t>
        </is>
      </c>
      <c r="G77" s="20" t="n">
        <v>161</v>
      </c>
      <c r="H77" s="20" t="n">
        <v>162</v>
      </c>
      <c r="I77" s="20" t="n">
        <v>3</v>
      </c>
    </row>
    <row r="78">
      <c r="A78" s="19" t="inlineStr">
        <is>
          <t>БОДИТ</t>
        </is>
      </c>
      <c r="B78" s="20" t="inlineStr">
        <is>
          <t>G06-MGL-MN</t>
        </is>
      </c>
      <c r="C78" s="20" t="inlineStr">
        <is>
          <t>Монгол хэл VI</t>
        </is>
      </c>
      <c r="D78" s="20" t="n">
        <v>1</v>
      </c>
      <c r="E78" s="20" t="inlineStr">
        <is>
          <t>I.1</t>
        </is>
      </c>
      <c r="F78" s="10" t="inlineStr">
        <is>
          <t>Гол асуудлыг ойлгон сонсож, асуулт асууж тодруулах</t>
        </is>
      </c>
      <c r="G78" s="20" t="n">
        <v>6</v>
      </c>
      <c r="H78" s="20" t="n">
        <v>10</v>
      </c>
      <c r="I78" s="20" t="n">
        <v>1</v>
      </c>
    </row>
    <row r="79">
      <c r="A79" s="19" t="inlineStr">
        <is>
          <t>БОДИТ</t>
        </is>
      </c>
      <c r="B79" s="20" t="inlineStr">
        <is>
          <t>G06-MGL-MN</t>
        </is>
      </c>
      <c r="C79" s="20" t="inlineStr">
        <is>
          <t>Монгол хэл VI</t>
        </is>
      </c>
      <c r="D79" s="20" t="n">
        <v>2</v>
      </c>
      <c r="E79" s="20" t="inlineStr">
        <is>
          <t>I.2</t>
        </is>
      </c>
      <c r="F79" s="10" t="inlineStr">
        <is>
          <t>Санаа бодлоо бусдынхтай холбож харилцан ярих</t>
        </is>
      </c>
      <c r="G79" s="20" t="n">
        <v>11</v>
      </c>
      <c r="H79" s="20" t="n">
        <v>11</v>
      </c>
      <c r="I79" s="20" t="n">
        <v>1</v>
      </c>
    </row>
    <row r="80">
      <c r="A80" s="19" t="inlineStr">
        <is>
          <t>БОДИТ</t>
        </is>
      </c>
      <c r="B80" s="20" t="inlineStr">
        <is>
          <t>G06-MGL-MN</t>
        </is>
      </c>
      <c r="C80" s="20" t="inlineStr">
        <is>
          <t>Монгол хэл VI</t>
        </is>
      </c>
      <c r="D80" s="20" t="n">
        <v>3</v>
      </c>
      <c r="E80" s="20" t="inlineStr">
        <is>
          <t>I.3</t>
        </is>
      </c>
      <c r="F80" s="10" t="inlineStr">
        <is>
          <t>Жинхэнэ нэрийн хэл зүйн шинж, найруулгын үүргийг тодорхойлох</t>
        </is>
      </c>
      <c r="G80" s="20" t="n">
        <v>12</v>
      </c>
      <c r="H80" s="20" t="n">
        <v>20</v>
      </c>
      <c r="I80" s="20" t="n">
        <v>1</v>
      </c>
    </row>
    <row r="81">
      <c r="A81" s="19" t="inlineStr">
        <is>
          <t>БОДИТ</t>
        </is>
      </c>
      <c r="B81" s="20" t="inlineStr">
        <is>
          <t>G06-MGL-MN</t>
        </is>
      </c>
      <c r="C81" s="20" t="inlineStr">
        <is>
          <t>Монгол хэл VI</t>
        </is>
      </c>
      <c r="D81" s="20" t="n">
        <v>4</v>
      </c>
      <c r="E81" s="20" t="inlineStr">
        <is>
          <t>II.1</t>
        </is>
      </c>
      <c r="F81" s="10" t="inlineStr">
        <is>
          <t>Үйл явдлын учир шалтгааны холбоо хамаарлыг задлан шинжлэх</t>
        </is>
      </c>
      <c r="G81" s="20" t="n">
        <v>22</v>
      </c>
      <c r="H81" s="20" t="n">
        <v>25</v>
      </c>
      <c r="I81" s="20" t="n">
        <v>1</v>
      </c>
    </row>
    <row r="82">
      <c r="A82" s="19" t="inlineStr">
        <is>
          <t>БОДИТ</t>
        </is>
      </c>
      <c r="B82" s="20" t="inlineStr">
        <is>
          <t>G06-MGL-MN</t>
        </is>
      </c>
      <c r="C82" s="20" t="inlineStr">
        <is>
          <t>Монгол хэл VI</t>
        </is>
      </c>
      <c r="D82" s="20" t="n">
        <v>5</v>
      </c>
      <c r="E82" s="20" t="inlineStr">
        <is>
          <t>II.2</t>
        </is>
      </c>
      <c r="F82" s="10" t="inlineStr">
        <is>
          <t>Үйл явдлыг учир шалтгааны уялдаа холбоотой бичих</t>
        </is>
      </c>
      <c r="G82" s="20" t="n">
        <v>26</v>
      </c>
      <c r="H82" s="20" t="n">
        <v>28</v>
      </c>
      <c r="I82" s="20" t="n">
        <v>1</v>
      </c>
    </row>
    <row r="83">
      <c r="A83" s="19" t="inlineStr">
        <is>
          <t>БОДИТ</t>
        </is>
      </c>
      <c r="B83" s="20" t="inlineStr">
        <is>
          <t>G06-MGL-MN</t>
        </is>
      </c>
      <c r="C83" s="20" t="inlineStr">
        <is>
          <t>Монгол хэл VI</t>
        </is>
      </c>
      <c r="D83" s="20" t="n">
        <v>6</v>
      </c>
      <c r="E83" s="20" t="inlineStr">
        <is>
          <t>II.3</t>
        </is>
      </c>
      <c r="F83" s="10" t="inlineStr">
        <is>
          <t>Үйл үгийн хэл зүйн шинж, найруулгын үүргийг тодорхойлох</t>
        </is>
      </c>
      <c r="G83" s="20" t="n">
        <v>29</v>
      </c>
      <c r="H83" s="20" t="n">
        <v>38</v>
      </c>
      <c r="I83" s="20" t="n">
        <v>1</v>
      </c>
    </row>
    <row r="84">
      <c r="A84" s="19" t="inlineStr">
        <is>
          <t>БОДИТ</t>
        </is>
      </c>
      <c r="B84" s="20" t="inlineStr">
        <is>
          <t>G06-MGL-MN</t>
        </is>
      </c>
      <c r="C84" s="20" t="inlineStr">
        <is>
          <t>Монгол хэл VI</t>
        </is>
      </c>
      <c r="D84" s="20" t="n">
        <v>7</v>
      </c>
      <c r="E84" s="20" t="inlineStr">
        <is>
          <t>III.1</t>
        </is>
      </c>
      <c r="F84" s="10" t="inlineStr">
        <is>
          <t>Үйл явдлын эхлэл, гол, төгсгөлийн уялдаа холбоог задлан шинжлэх</t>
        </is>
      </c>
      <c r="G84" s="20" t="n">
        <v>40</v>
      </c>
      <c r="H84" s="20" t="n">
        <v>44</v>
      </c>
      <c r="I84" s="20" t="n">
        <v>1</v>
      </c>
    </row>
    <row r="85">
      <c r="A85" s="19" t="inlineStr">
        <is>
          <t>БОДИТ</t>
        </is>
      </c>
      <c r="B85" s="20" t="inlineStr">
        <is>
          <t>G06-MGL-MN</t>
        </is>
      </c>
      <c r="C85" s="20" t="inlineStr">
        <is>
          <t>Монгол хэл VI</t>
        </is>
      </c>
      <c r="D85" s="20" t="n">
        <v>8</v>
      </c>
      <c r="E85" s="20" t="inlineStr">
        <is>
          <t>III.2</t>
        </is>
      </c>
      <c r="F85" s="10" t="inlineStr">
        <is>
          <t>Өгсөн сэдэв, гол санаанд тохируулан үйл явдлыг сонгож бичих</t>
        </is>
      </c>
      <c r="G85" s="20" t="n">
        <v>45</v>
      </c>
      <c r="H85" s="20" t="n">
        <v>47</v>
      </c>
      <c r="I85" s="20" t="n">
        <v>1</v>
      </c>
    </row>
    <row r="86">
      <c r="A86" s="19" t="inlineStr">
        <is>
          <t>БОДИТ</t>
        </is>
      </c>
      <c r="B86" s="20" t="inlineStr">
        <is>
          <t>G06-MGL-MN</t>
        </is>
      </c>
      <c r="C86" s="20" t="inlineStr">
        <is>
          <t>Монгол хэл VI</t>
        </is>
      </c>
      <c r="D86" s="20" t="n">
        <v>9</v>
      </c>
      <c r="E86" s="20" t="inlineStr">
        <is>
          <t>III.3</t>
        </is>
      </c>
      <c r="F86" s="10" t="inlineStr">
        <is>
          <t>Орон цагийн нэрийн хэл зүйн шинж, найруулгын үүргийг тодорхойлох</t>
        </is>
      </c>
      <c r="G86" s="20" t="n">
        <v>48</v>
      </c>
      <c r="H86" s="20" t="n">
        <v>54</v>
      </c>
      <c r="I86" s="20" t="n">
        <v>1</v>
      </c>
    </row>
    <row r="87">
      <c r="A87" s="19" t="inlineStr">
        <is>
          <t>БОДИТ</t>
        </is>
      </c>
      <c r="B87" s="20" t="inlineStr">
        <is>
          <t>G06-MGL-MN</t>
        </is>
      </c>
      <c r="C87" s="20" t="inlineStr">
        <is>
          <t>Монгол хэл VI</t>
        </is>
      </c>
      <c r="D87" s="20" t="n">
        <v>10</v>
      </c>
      <c r="E87" s="20" t="inlineStr">
        <is>
          <t>IV.1</t>
        </is>
      </c>
      <c r="F87" s="10" t="inlineStr">
        <is>
          <t>Орон цагийн дүрслэлийг ялгаж, үйл явдлын орчныг тодорхойлох</t>
        </is>
      </c>
      <c r="G87" s="20" t="n">
        <v>56</v>
      </c>
      <c r="H87" s="20" t="n">
        <v>60</v>
      </c>
      <c r="I87" s="20" t="n">
        <v>2</v>
      </c>
    </row>
    <row r="88">
      <c r="A88" s="19" t="inlineStr">
        <is>
          <t>БОДИТ</t>
        </is>
      </c>
      <c r="B88" s="20" t="inlineStr">
        <is>
          <t>G06-MGL-MN</t>
        </is>
      </c>
      <c r="C88" s="20" t="inlineStr">
        <is>
          <t>Монгол хэл VI</t>
        </is>
      </c>
      <c r="D88" s="20" t="n">
        <v>11</v>
      </c>
      <c r="E88" s="20" t="inlineStr">
        <is>
          <t>IV.2</t>
        </is>
      </c>
      <c r="F88" s="20" t="inlineStr">
        <is>
          <t>Үйл явдлын орчныг дүрслэн бичих</t>
        </is>
      </c>
      <c r="G88" s="20" t="n">
        <v>61</v>
      </c>
      <c r="H88" s="20" t="n">
        <v>63</v>
      </c>
      <c r="I88" s="20" t="n">
        <v>2</v>
      </c>
    </row>
    <row r="89">
      <c r="A89" s="19" t="inlineStr">
        <is>
          <t>БОДИТ</t>
        </is>
      </c>
      <c r="B89" s="20" t="inlineStr">
        <is>
          <t>G06-MGL-MN</t>
        </is>
      </c>
      <c r="C89" s="20" t="inlineStr">
        <is>
          <t>Монгол хэл VI</t>
        </is>
      </c>
      <c r="D89" s="20" t="n">
        <v>12</v>
      </c>
      <c r="E89" s="20" t="inlineStr">
        <is>
          <t>IV.3</t>
        </is>
      </c>
      <c r="F89" s="10" t="inlineStr">
        <is>
          <t>Өгүүлбэрийн цөм ба дэлгэрэнгүй бүтэц үүсгэн найруулах</t>
        </is>
      </c>
      <c r="G89" s="20" t="n">
        <v>64</v>
      </c>
      <c r="H89" s="20" t="n">
        <v>76</v>
      </c>
      <c r="I89" s="20" t="n">
        <v>2</v>
      </c>
    </row>
    <row r="90">
      <c r="A90" s="19" t="inlineStr">
        <is>
          <t>БОДИТ</t>
        </is>
      </c>
      <c r="B90" s="20" t="inlineStr">
        <is>
          <t>G06-MGL-MN</t>
        </is>
      </c>
      <c r="C90" s="20" t="inlineStr">
        <is>
          <t>Монгол хэл VI</t>
        </is>
      </c>
      <c r="D90" s="20" t="n">
        <v>13</v>
      </c>
      <c r="E90" s="20" t="inlineStr">
        <is>
          <t>V.1</t>
        </is>
      </c>
      <c r="F90" s="10" t="inlineStr">
        <is>
          <t>Эхийн доторх харилцан ярианы үүргийг тодорхойлох</t>
        </is>
      </c>
      <c r="G90" s="20" t="n">
        <v>78</v>
      </c>
      <c r="H90" s="20" t="n">
        <v>81</v>
      </c>
      <c r="I90" s="20" t="n">
        <v>2</v>
      </c>
    </row>
    <row r="91">
      <c r="A91" s="19" t="inlineStr">
        <is>
          <t>БОДИТ</t>
        </is>
      </c>
      <c r="B91" s="20" t="inlineStr">
        <is>
          <t>G06-MGL-MN</t>
        </is>
      </c>
      <c r="C91" s="20" t="inlineStr">
        <is>
          <t>Монгол хэл VI</t>
        </is>
      </c>
      <c r="D91" s="20" t="n">
        <v>14</v>
      </c>
      <c r="E91" s="20" t="inlineStr">
        <is>
          <t>V.2</t>
        </is>
      </c>
      <c r="F91" s="10" t="inlineStr">
        <is>
          <t>Эхэд харилцан яриа оруулан дэлгэрүүлж бичих</t>
        </is>
      </c>
      <c r="G91" s="20" t="n">
        <v>82</v>
      </c>
      <c r="H91" s="20" t="n">
        <v>86</v>
      </c>
      <c r="I91" s="20" t="n">
        <v>2</v>
      </c>
    </row>
    <row r="92">
      <c r="A92" s="19" t="inlineStr">
        <is>
          <t>БОДИТ</t>
        </is>
      </c>
      <c r="B92" s="20" t="inlineStr">
        <is>
          <t>G06-MGL-MN</t>
        </is>
      </c>
      <c r="C92" s="20" t="inlineStr">
        <is>
          <t>Монгол хэл VI</t>
        </is>
      </c>
      <c r="D92" s="20" t="n">
        <v>15</v>
      </c>
      <c r="E92" s="20" t="inlineStr">
        <is>
          <t>V.3</t>
        </is>
      </c>
      <c r="F92" s="10" t="inlineStr">
        <is>
          <t>Харилцан ярианд цэг тэмдгийг зөв хэрэглэх</t>
        </is>
      </c>
      <c r="G92" s="20" t="n">
        <v>87</v>
      </c>
      <c r="H92" s="20" t="n">
        <v>90</v>
      </c>
      <c r="I92" s="20" t="n">
        <v>2</v>
      </c>
    </row>
    <row r="93">
      <c r="A93" s="19" t="inlineStr">
        <is>
          <t>БОДИТ</t>
        </is>
      </c>
      <c r="B93" s="20" t="inlineStr">
        <is>
          <t>G06-MGL-MN</t>
        </is>
      </c>
      <c r="C93" s="20" t="inlineStr">
        <is>
          <t>Монгол хэл VI</t>
        </is>
      </c>
      <c r="D93" s="20" t="n">
        <v>16</v>
      </c>
      <c r="E93" s="20" t="inlineStr">
        <is>
          <t>VI.1</t>
        </is>
      </c>
      <c r="F93" s="20" t="inlineStr">
        <is>
          <t>Эхээс гол мэдээллийг ялгаж унших</t>
        </is>
      </c>
      <c r="G93" s="20" t="n">
        <v>92</v>
      </c>
      <c r="H93" s="20" t="n">
        <v>97</v>
      </c>
      <c r="I93" s="20" t="n">
        <v>2</v>
      </c>
    </row>
    <row r="94">
      <c r="A94" s="19" t="inlineStr">
        <is>
          <t>БОДИТ</t>
        </is>
      </c>
      <c r="B94" s="20" t="inlineStr">
        <is>
          <t>G06-MGL-MN</t>
        </is>
      </c>
      <c r="C94" s="20" t="inlineStr">
        <is>
          <t>Монгол хэл VI</t>
        </is>
      </c>
      <c r="D94" s="20" t="n">
        <v>17</v>
      </c>
      <c r="E94" s="20" t="inlineStr">
        <is>
          <t>VI.2</t>
        </is>
      </c>
      <c r="F94" s="10" t="inlineStr">
        <is>
          <t>Товч мэдээллийг холбоотой баримтаар дэлгэрүүлэн бичих</t>
        </is>
      </c>
      <c r="G94" s="20" t="n">
        <v>98</v>
      </c>
      <c r="H94" s="20" t="n">
        <v>99</v>
      </c>
      <c r="I94" s="20" t="n">
        <v>2</v>
      </c>
    </row>
    <row r="95">
      <c r="A95" s="19" t="inlineStr">
        <is>
          <t>БОДИТ</t>
        </is>
      </c>
      <c r="B95" s="20" t="inlineStr">
        <is>
          <t>G06-MGL-MN</t>
        </is>
      </c>
      <c r="C95" s="20" t="inlineStr">
        <is>
          <t>Монгол хэл VI</t>
        </is>
      </c>
      <c r="D95" s="20" t="n">
        <v>18</v>
      </c>
      <c r="E95" s="20" t="inlineStr">
        <is>
          <t>VI.3</t>
        </is>
      </c>
      <c r="F95" s="10" t="inlineStr">
        <is>
          <t>Эхийн найруулгыг судалж, алдааг таньж, сайжруулах</t>
        </is>
      </c>
      <c r="G95" s="20" t="n">
        <v>100</v>
      </c>
      <c r="H95" s="20" t="n">
        <v>102</v>
      </c>
      <c r="I95" s="20" t="n">
        <v>2</v>
      </c>
    </row>
    <row r="96">
      <c r="A96" s="19" t="inlineStr">
        <is>
          <t>БОДИТ</t>
        </is>
      </c>
      <c r="B96" s="20" t="inlineStr">
        <is>
          <t>G06-MGL-MN</t>
        </is>
      </c>
      <c r="C96" s="20" t="inlineStr">
        <is>
          <t>Монгол хэл VI</t>
        </is>
      </c>
      <c r="D96" s="20" t="n">
        <v>19</v>
      </c>
      <c r="E96" s="20" t="inlineStr">
        <is>
          <t>VII.1</t>
        </is>
      </c>
      <c r="F96" s="10" t="inlineStr">
        <is>
          <t>Мэдрэмж, сэтгэгдлийг ялган, зохиогчийн сэтгэлийн өнгө аясыг тайлбарлах</t>
        </is>
      </c>
      <c r="G96" s="20" t="n">
        <v>104</v>
      </c>
      <c r="H96" s="20" t="n">
        <v>109</v>
      </c>
      <c r="I96" s="20" t="n">
        <v>3</v>
      </c>
    </row>
    <row r="97">
      <c r="A97" s="19" t="inlineStr">
        <is>
          <t>БОДИТ</t>
        </is>
      </c>
      <c r="B97" s="20" t="inlineStr">
        <is>
          <t>G06-MGL-MN</t>
        </is>
      </c>
      <c r="C97" s="20" t="inlineStr">
        <is>
          <t>Монгол хэл VI</t>
        </is>
      </c>
      <c r="D97" s="20" t="n">
        <v>20</v>
      </c>
      <c r="E97" s="20" t="inlineStr">
        <is>
          <t>VII.2</t>
        </is>
      </c>
      <c r="F97" s="10" t="inlineStr">
        <is>
          <t>Хэлц ашиглан мэдрэмж, сэтгэгдэл, сэтгэл хөдлөлөө дүрслэн бичих</t>
        </is>
      </c>
      <c r="G97" s="20" t="n">
        <v>110</v>
      </c>
      <c r="H97" s="20" t="n">
        <v>113</v>
      </c>
      <c r="I97" s="20" t="n">
        <v>3</v>
      </c>
    </row>
    <row r="98">
      <c r="A98" s="19" t="inlineStr">
        <is>
          <t>БОДИТ</t>
        </is>
      </c>
      <c r="B98" s="20" t="inlineStr">
        <is>
          <t>G06-MGL-MN</t>
        </is>
      </c>
      <c r="C98" s="20" t="inlineStr">
        <is>
          <t>Монгол хэл VI</t>
        </is>
      </c>
      <c r="D98" s="20" t="n">
        <v>21</v>
      </c>
      <c r="E98" s="20" t="inlineStr">
        <is>
          <t>VII.3</t>
        </is>
      </c>
      <c r="F98" s="20" t="inlineStr">
        <is>
          <t>Баймж, үг бүтээврийг зөв бичих</t>
        </is>
      </c>
      <c r="G98" s="20" t="n">
        <v>114</v>
      </c>
      <c r="H98" s="20" t="n">
        <v>118</v>
      </c>
      <c r="I98" s="20" t="n">
        <v>3</v>
      </c>
    </row>
    <row r="99">
      <c r="A99" s="19" t="inlineStr">
        <is>
          <t>БОДИТ</t>
        </is>
      </c>
      <c r="B99" s="20" t="inlineStr">
        <is>
          <t>G06-MGL-MN</t>
        </is>
      </c>
      <c r="C99" s="20" t="inlineStr">
        <is>
          <t>Монгол хэл VI</t>
        </is>
      </c>
      <c r="D99" s="20" t="n">
        <v>22</v>
      </c>
      <c r="E99" s="20" t="inlineStr">
        <is>
          <t>VIII.1</t>
        </is>
      </c>
      <c r="F99" s="10" t="inlineStr">
        <is>
          <t>Чухал хэсгийг ялгаж, бичигчийн санааг тайлбарлах</t>
        </is>
      </c>
      <c r="G99" s="20" t="n">
        <v>120</v>
      </c>
      <c r="H99" s="20" t="n">
        <v>124</v>
      </c>
      <c r="I99" s="20" t="n">
        <v>3</v>
      </c>
    </row>
    <row r="100">
      <c r="A100" s="19" t="inlineStr">
        <is>
          <t>БОДИТ</t>
        </is>
      </c>
      <c r="B100" s="20" t="inlineStr">
        <is>
          <t>G06-MGL-MN</t>
        </is>
      </c>
      <c r="C100" s="20" t="inlineStr">
        <is>
          <t>Монгол хэл VI</t>
        </is>
      </c>
      <c r="D100" s="20" t="n">
        <v>23</v>
      </c>
      <c r="E100" s="20" t="inlineStr">
        <is>
          <t>VIII.2</t>
        </is>
      </c>
      <c r="F100" s="20" t="inlineStr">
        <is>
          <t>Санаагаа оруулан дэлгэрүүлж бичих</t>
        </is>
      </c>
      <c r="G100" s="20" t="n">
        <v>125</v>
      </c>
      <c r="H100" s="20" t="n">
        <v>127</v>
      </c>
      <c r="I100" s="20" t="n">
        <v>3</v>
      </c>
    </row>
    <row r="101">
      <c r="A101" s="19" t="inlineStr">
        <is>
          <t>БОДИТ</t>
        </is>
      </c>
      <c r="B101" s="20" t="inlineStr">
        <is>
          <t>G06-MGL-MN</t>
        </is>
      </c>
      <c r="C101" s="20" t="inlineStr">
        <is>
          <t>Монгол хэл VI</t>
        </is>
      </c>
      <c r="D101" s="20" t="n">
        <v>24</v>
      </c>
      <c r="E101" s="20" t="inlineStr">
        <is>
          <t>VIII.3</t>
        </is>
      </c>
      <c r="F101" s="10" t="inlineStr">
        <is>
          <t>Үгийн бүтцийг задлан ялгаж, бүтээврийн нийлцийг зөв бичих</t>
        </is>
      </c>
      <c r="G101" s="20" t="n">
        <v>128</v>
      </c>
      <c r="H101" s="20" t="n">
        <v>132</v>
      </c>
      <c r="I101" s="20" t="n">
        <v>3</v>
      </c>
    </row>
    <row r="102">
      <c r="A102" s="19" t="inlineStr">
        <is>
          <t>БОДИТ</t>
        </is>
      </c>
      <c r="B102" s="20" t="inlineStr">
        <is>
          <t>G06-MGL-MN</t>
        </is>
      </c>
      <c r="C102" s="20" t="inlineStr">
        <is>
          <t>Монгол хэл VI</t>
        </is>
      </c>
      <c r="D102" s="20" t="n">
        <v>25</v>
      </c>
      <c r="E102" s="20" t="inlineStr">
        <is>
          <t>IX.1</t>
        </is>
      </c>
      <c r="F102" s="10" t="inlineStr">
        <is>
          <t>Үйл явдлын мэдээ, мэдээллийг нэгтгэн дүгнэж унших</t>
        </is>
      </c>
      <c r="G102" s="20" t="n">
        <v>134</v>
      </c>
      <c r="H102" s="20" t="n">
        <v>143</v>
      </c>
      <c r="I102" s="20" t="n">
        <v>3</v>
      </c>
    </row>
    <row r="103">
      <c r="A103" s="19" t="inlineStr">
        <is>
          <t>БОДИТ</t>
        </is>
      </c>
      <c r="B103" s="20" t="inlineStr">
        <is>
          <t>G06-MGL-MN</t>
        </is>
      </c>
      <c r="C103" s="20" t="inlineStr">
        <is>
          <t>Монгол хэл VI</t>
        </is>
      </c>
      <c r="D103" s="20" t="n">
        <v>26</v>
      </c>
      <c r="E103" s="20" t="inlineStr">
        <is>
          <t>IX.2</t>
        </is>
      </c>
      <c r="F103" s="10" t="inlineStr">
        <is>
          <t>Үйл явдлыг 6 асуултын дагуу мэдээлж бичих</t>
        </is>
      </c>
      <c r="G103" s="20" t="n">
        <v>144</v>
      </c>
      <c r="H103" s="20" t="n">
        <v>144</v>
      </c>
      <c r="I103" s="20" t="n">
        <v>3</v>
      </c>
    </row>
    <row r="104">
      <c r="A104" s="19" t="inlineStr">
        <is>
          <t>БОДИТ</t>
        </is>
      </c>
      <c r="B104" s="20" t="inlineStr">
        <is>
          <t>G06-MGL-MN</t>
        </is>
      </c>
      <c r="C104" s="20" t="inlineStr">
        <is>
          <t>Монгол хэл VI</t>
        </is>
      </c>
      <c r="D104" s="20" t="n">
        <v>27</v>
      </c>
      <c r="E104" s="20" t="inlineStr">
        <is>
          <t>IX.3</t>
        </is>
      </c>
      <c r="F104" s="20" t="inlineStr">
        <is>
          <t>Хэл зүйн мэдлэгээ бататгах</t>
        </is>
      </c>
      <c r="G104" s="20" t="n">
        <v>145</v>
      </c>
      <c r="H104" s="20" t="n">
        <v>151</v>
      </c>
      <c r="I104" s="20" t="n">
        <v>3</v>
      </c>
    </row>
    <row r="105">
      <c r="A105" s="6" t="inlineStr">
        <is>
          <t>ЖИШЭЭ</t>
        </is>
      </c>
      <c r="B105" s="21" t="inlineStr">
        <is>
          <t>G06-HIST-MN</t>
        </is>
      </c>
      <c r="C105" s="21" t="inlineStr">
        <is>
          <t>Түүх VI</t>
        </is>
      </c>
      <c r="D105" s="21" t="n">
        <v>1</v>
      </c>
      <c r="E105" s="21" t="inlineStr">
        <is>
          <t>I.1</t>
        </is>
      </c>
      <c r="F105" s="24" t="inlineStr">
        <is>
          <t>Монголын эртний түүх — чулуун зэвсгийн үе</t>
        </is>
      </c>
      <c r="G105" s="21" t="n">
        <v>5</v>
      </c>
      <c r="H105" s="21" t="n">
        <v>9</v>
      </c>
      <c r="I105" s="21" t="n">
        <v>1</v>
      </c>
    </row>
    <row r="106">
      <c r="A106" s="6" t="inlineStr">
        <is>
          <t>ЖИШЭЭ</t>
        </is>
      </c>
      <c r="B106" s="21" t="inlineStr">
        <is>
          <t>G06-HIST-MN</t>
        </is>
      </c>
      <c r="C106" s="21" t="inlineStr">
        <is>
          <t>Түүх VI</t>
        </is>
      </c>
      <c r="D106" s="21" t="n">
        <v>2</v>
      </c>
      <c r="E106" s="21" t="inlineStr">
        <is>
          <t>I.2</t>
        </is>
      </c>
      <c r="F106" s="21" t="inlineStr">
        <is>
          <t>Хүннү гүрний үүсэл, төрийн байгуулал</t>
        </is>
      </c>
      <c r="G106" s="21" t="n">
        <v>10</v>
      </c>
      <c r="H106" s="21" t="n">
        <v>15</v>
      </c>
      <c r="I106" s="21" t="n">
        <v>1</v>
      </c>
    </row>
    <row r="107">
      <c r="A107" s="6" t="inlineStr">
        <is>
          <t>ЖИШЭЭ</t>
        </is>
      </c>
      <c r="B107" s="21" t="inlineStr">
        <is>
          <t>G06-SCI-MN</t>
        </is>
      </c>
      <c r="C107" s="21" t="inlineStr">
        <is>
          <t>Байгалийн ухаан VI</t>
        </is>
      </c>
      <c r="D107" s="21" t="n">
        <v>1</v>
      </c>
      <c r="E107" s="21" t="inlineStr">
        <is>
          <t>I.1</t>
        </is>
      </c>
      <c r="F107" s="21" t="inlineStr">
        <is>
          <t>Амьд биетийн эрхтэн тогтолцоо</t>
        </is>
      </c>
      <c r="G107" s="21" t="n">
        <v>6</v>
      </c>
      <c r="H107" s="21" t="n">
        <v>12</v>
      </c>
      <c r="I107" s="21" t="n">
        <v>1</v>
      </c>
    </row>
    <row r="108">
      <c r="A108" s="6" t="inlineStr">
        <is>
          <t>ЖИШЭЭ</t>
        </is>
      </c>
      <c r="B108" s="21" t="inlineStr">
        <is>
          <t>G06-SCI-MN</t>
        </is>
      </c>
      <c r="C108" s="21" t="inlineStr">
        <is>
          <t>Байгалийн ухаан VI</t>
        </is>
      </c>
      <c r="D108" s="21" t="n">
        <v>2</v>
      </c>
      <c r="E108" s="21" t="inlineStr">
        <is>
          <t>I.2</t>
        </is>
      </c>
      <c r="F108" s="21" t="inlineStr">
        <is>
          <t>Ургамлын шим тэжээл</t>
        </is>
      </c>
      <c r="G108" s="21" t="n">
        <v>13</v>
      </c>
      <c r="H108" s="21" t="n">
        <v>18</v>
      </c>
      <c r="I108" s="21" t="n">
        <v>1</v>
      </c>
    </row>
    <row r="110" ht="30" customHeight="1">
      <c r="A110" s="15" t="inlineStr">
        <is>
          <t>Улирал = 1, 2 эсвэл 3. Сэдэв бүрийг аль улиралд үзэхийг заавал тэмдэглэнэ — «одоо хаана явж байна» болон «энэ улиралд юу багтах» үүнээс тооцогдоно.</t>
        </is>
      </c>
    </row>
  </sheetData>
  <autoFilter ref="A5:I108"/>
  <mergeCells count="4">
    <mergeCell ref="A110:H110"/>
    <mergeCell ref="A3:H3"/>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0" customWidth="1" min="3" max="3"/>
    <col width="26" customWidth="1" min="4" max="4"/>
    <col width="14" customWidth="1" min="5" max="5"/>
    <col width="14" customWidth="1" min="6" max="6"/>
    <col width="10" customWidth="1" min="7" max="7"/>
    <col width="42" customWidth="1" min="8" max="8"/>
  </cols>
  <sheetData>
    <row r="1">
      <c r="A1" s="16" t="inlineStr">
        <is>
          <t>Улирлын хуваарь   (★)</t>
        </is>
      </c>
    </row>
    <row r="2" ht="44" customHeight="1">
      <c r="A2" s="2" t="inlineStr">
        <is>
          <t>Хичээлийн жилийн 4 улирал. ОГНОО НЬ ТААМАГ — сургуулийн амралтын хуанли хараахан ирээгүй тул ердийн хуваарийг түр тавьсан. «Одоо аль улирал» гэдэг эдгээр огноон дээр тооцогддог.</t>
        </is>
      </c>
    </row>
    <row r="3">
      <c r="A3" s="22" t="inlineStr">
        <is>
          <t>ЗАРИМ НЬ ОРСОН — дутууг нөхөх шаардлагатай</t>
        </is>
      </c>
    </row>
    <row r="5" ht="32" customHeight="1">
      <c r="A5" s="18" t="inlineStr">
        <is>
          <t>Төлөв</t>
        </is>
      </c>
      <c r="B5" s="18" t="inlineStr">
        <is>
          <t>Хичээлийн жил</t>
        </is>
      </c>
      <c r="C5" s="18" t="inlineStr">
        <is>
          <t>Улирал</t>
        </is>
      </c>
      <c r="D5" s="18" t="inlineStr">
        <is>
          <t>Нэр</t>
        </is>
      </c>
      <c r="E5" s="18" t="inlineStr">
        <is>
          <t>Эхлэх огноо</t>
        </is>
      </c>
      <c r="F5" s="18" t="inlineStr">
        <is>
          <t>Дуусах огноо</t>
        </is>
      </c>
      <c r="G5" s="18" t="inlineStr">
        <is>
          <t>Хоног</t>
        </is>
      </c>
      <c r="H5" s="18" t="inlineStr">
        <is>
          <t>Тэмдэглэл</t>
        </is>
      </c>
    </row>
    <row r="6">
      <c r="A6" s="6" t="inlineStr">
        <is>
          <t>ЖИШЭЭ</t>
        </is>
      </c>
      <c r="B6" s="21" t="inlineStr">
        <is>
          <t>2026-2027</t>
        </is>
      </c>
      <c r="C6" s="21" t="n">
        <v>1</v>
      </c>
      <c r="D6" s="21" t="inlineStr">
        <is>
          <t>I улирал (түр огноо)</t>
        </is>
      </c>
      <c r="E6" s="25" t="n">
        <v>46266</v>
      </c>
      <c r="F6" s="25" t="n">
        <v>46326</v>
      </c>
      <c r="G6" s="26">
        <f>$F6-$E6+1</f>
        <v/>
      </c>
      <c r="H6" s="24" t="inlineStr">
        <is>
          <t>Түр таамаг огноо — жинхэнэ хуанли ирэхэд солино</t>
        </is>
      </c>
    </row>
    <row r="7">
      <c r="A7" s="6" t="inlineStr">
        <is>
          <t>ЖИШЭЭ</t>
        </is>
      </c>
      <c r="B7" s="21" t="inlineStr">
        <is>
          <t>2026-2027</t>
        </is>
      </c>
      <c r="C7" s="21" t="n">
        <v>2</v>
      </c>
      <c r="D7" s="21" t="inlineStr">
        <is>
          <t>II улирал (түр огноо)</t>
        </is>
      </c>
      <c r="E7" s="25" t="n">
        <v>46335</v>
      </c>
      <c r="F7" s="25" t="n">
        <v>46387</v>
      </c>
      <c r="G7" s="26">
        <f>$F7-$E7+1</f>
        <v/>
      </c>
      <c r="H7" s="24" t="inlineStr">
        <is>
          <t>Түр таамаг огноо — жинхэнэ хуанли ирэхэд солино</t>
        </is>
      </c>
    </row>
    <row r="8">
      <c r="A8" s="6" t="inlineStr">
        <is>
          <t>ЖИШЭЭ</t>
        </is>
      </c>
      <c r="B8" s="21" t="inlineStr">
        <is>
          <t>2026-2027</t>
        </is>
      </c>
      <c r="C8" s="21" t="n">
        <v>3</v>
      </c>
      <c r="D8" s="21" t="inlineStr">
        <is>
          <t>III улирал (түр огноо)</t>
        </is>
      </c>
      <c r="E8" s="25" t="n">
        <v>46398</v>
      </c>
      <c r="F8" s="25" t="n">
        <v>46466</v>
      </c>
      <c r="G8" s="26">
        <f>$F8-$E8+1</f>
        <v/>
      </c>
      <c r="H8" s="24" t="inlineStr">
        <is>
          <t>Түр таамаг огноо — жинхэнэ хуанли ирэхэд солино</t>
        </is>
      </c>
    </row>
    <row r="9">
      <c r="A9" s="6" t="inlineStr">
        <is>
          <t>ЖИШЭЭ</t>
        </is>
      </c>
      <c r="B9" s="21" t="inlineStr">
        <is>
          <t>2026-2027</t>
        </is>
      </c>
      <c r="C9" s="21" t="n">
        <v>4</v>
      </c>
      <c r="D9" s="21" t="inlineStr">
        <is>
          <t>IV улирал (түр огноо)</t>
        </is>
      </c>
      <c r="E9" s="25" t="n">
        <v>46475</v>
      </c>
      <c r="F9" s="25" t="n">
        <v>46543</v>
      </c>
      <c r="G9" s="26">
        <f>$F9-$E9+1</f>
        <v/>
      </c>
      <c r="H9" s="24" t="inlineStr">
        <is>
          <t>Түр таамаг огноо — жинхэнэ хуанли ирэхэд солино</t>
        </is>
      </c>
    </row>
    <row r="11" ht="30" customHeight="1">
      <c r="A11" s="15" t="inlineStr">
        <is>
          <t>Хэрэгтэй зүйл: 4 улирлын жинхэнэ эхлэх, дуусах огноо ба амралтын хуваарь.</t>
        </is>
      </c>
    </row>
  </sheetData>
  <autoFilter ref="A5:H9"/>
  <mergeCells count="4">
    <mergeCell ref="A11:H11"/>
    <mergeCell ref="A3:H3"/>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22" customWidth="1" min="5" max="5"/>
    <col width="14" customWidth="1" min="6" max="6"/>
    <col width="52" customWidth="1" min="7" max="7"/>
    <col width="12" customWidth="1" min="8" max="8"/>
    <col width="10" customWidth="1" min="9" max="9"/>
    <col width="14" customWidth="1" min="10" max="10"/>
    <col width="20" customWidth="1" min="11" max="11"/>
  </cols>
  <sheetData>
    <row r="1">
      <c r="A1" s="16" t="inlineStr">
        <is>
          <t>Анги одоо аль сэдэв дээр яваа</t>
        </is>
      </c>
    </row>
    <row r="2" ht="44" customHeight="1">
      <c r="A2" s="2" t="inlineStr">
        <is>
          <t>Багш «манай анги одоо энэ сэдэв дээр байна» гэж заана, сурагчид шууд хардаг. Энэ нь хуанлиас тооцогддоггүй: хоцорсон анги эрт улирлын сэдэв дээр байж болох бөгөөд тэр нь буруу биш.</t>
        </is>
      </c>
    </row>
    <row r="3">
      <c r="A3" s="22" t="inlineStr">
        <is>
          <t>ЗАРИМ НЬ ОРСОН — дутууг нөхөх шаардлагатай</t>
        </is>
      </c>
    </row>
    <row r="5" ht="32" customHeight="1">
      <c r="A5" s="18" t="inlineStr">
        <is>
          <t>Төлөв</t>
        </is>
      </c>
      <c r="B5" s="18" t="inlineStr">
        <is>
          <t>Ангийн код</t>
        </is>
      </c>
      <c r="C5" s="18" t="inlineStr">
        <is>
          <t>Анги</t>
        </is>
      </c>
      <c r="D5" s="18" t="inlineStr">
        <is>
          <t>Хичээлийн код</t>
        </is>
      </c>
      <c r="E5" s="18" t="inlineStr">
        <is>
          <t>Хичээл</t>
        </is>
      </c>
      <c r="F5" s="18" t="inlineStr">
        <is>
          <t>Сэдвийн дугаар</t>
        </is>
      </c>
      <c r="G5" s="18" t="inlineStr">
        <is>
          <t>Сэдвийн нэр</t>
        </is>
      </c>
      <c r="H5" s="18" t="inlineStr">
        <is>
          <t>Хуудас</t>
        </is>
      </c>
      <c r="I5" s="18" t="inlineStr">
        <is>
          <t>Улирал</t>
        </is>
      </c>
      <c r="J5" s="18" t="inlineStr">
        <is>
          <t>Эхэлсэн огноо</t>
        </is>
      </c>
      <c r="K5" s="18" t="inlineStr">
        <is>
          <t>Тэмдэглэсэн багш</t>
        </is>
      </c>
    </row>
    <row r="6">
      <c r="A6" s="19" t="inlineStr">
        <is>
          <t>БОДИТ</t>
        </is>
      </c>
      <c r="B6" s="20" t="inlineStr">
        <is>
          <t>EJ-2627-6A</t>
        </is>
      </c>
      <c r="C6" s="20" t="inlineStr">
        <is>
          <t>6а</t>
        </is>
      </c>
      <c r="D6" s="20" t="inlineStr">
        <is>
          <t>MATH</t>
        </is>
      </c>
      <c r="E6" s="20" t="inlineStr">
        <is>
          <t>Математик</t>
        </is>
      </c>
      <c r="F6" s="20" t="inlineStr">
        <is>
          <t>II.4</t>
        </is>
      </c>
      <c r="G6" s="20" t="inlineStr">
        <is>
          <t>Аравтын бутархайн нэмэх, хасах үйлдэл</t>
        </is>
      </c>
      <c r="H6" s="20" t="inlineStr">
        <is>
          <t>30–31</t>
        </is>
      </c>
      <c r="I6" s="20" t="n">
        <v>1</v>
      </c>
      <c r="J6" s="27" t="n">
        <v>46287</v>
      </c>
      <c r="K6" s="20" t="inlineStr">
        <is>
          <t>Б.Амартүвшин</t>
        </is>
      </c>
    </row>
    <row r="7">
      <c r="A7" s="6" t="inlineStr">
        <is>
          <t>ЖИШЭЭ</t>
        </is>
      </c>
      <c r="B7" s="21" t="inlineStr">
        <is>
          <t>EJ-2627-6A</t>
        </is>
      </c>
      <c r="C7" s="21" t="inlineStr">
        <is>
          <t>6а</t>
        </is>
      </c>
      <c r="D7" s="21" t="inlineStr">
        <is>
          <t>MGL</t>
        </is>
      </c>
      <c r="E7" s="21" t="inlineStr">
        <is>
          <t>Монгол хэл</t>
        </is>
      </c>
      <c r="F7" s="21" t="inlineStr">
        <is>
          <t>I.3</t>
        </is>
      </c>
      <c r="G7" s="24" t="inlineStr">
        <is>
          <t>Жинхэнэ нэрийн хэл зүйн шинж, найруулгын үүргийг тодорхойлох</t>
        </is>
      </c>
      <c r="H7" s="21" t="inlineStr">
        <is>
          <t>12–20</t>
        </is>
      </c>
      <c r="I7" s="21" t="n">
        <v>1</v>
      </c>
      <c r="J7" s="25" t="n">
        <v>46286</v>
      </c>
      <c r="K7" s="21" t="inlineStr">
        <is>
          <t>Н.Нансал</t>
        </is>
      </c>
    </row>
    <row r="8">
      <c r="A8" s="6" t="inlineStr">
        <is>
          <t>ЖИШЭЭ</t>
        </is>
      </c>
      <c r="B8" s="21" t="inlineStr">
        <is>
          <t>EJ-2627-7A</t>
        </is>
      </c>
      <c r="C8" s="21" t="inlineStr">
        <is>
          <t>7а</t>
        </is>
      </c>
      <c r="D8" s="21" t="inlineStr">
        <is>
          <t>MATH</t>
        </is>
      </c>
      <c r="E8" s="21" t="inlineStr">
        <is>
          <t>Математик</t>
        </is>
      </c>
      <c r="F8" s="21" t="n"/>
      <c r="G8" s="24" t="inlineStr">
        <is>
          <t>Номын сэдэв ороогүй тул сэдэв заах боломжгүй</t>
        </is>
      </c>
      <c r="H8" s="21" t="n"/>
      <c r="I8" s="21" t="n"/>
      <c r="J8" s="21" t="n"/>
      <c r="K8" s="21" t="n"/>
    </row>
    <row r="10" ht="30" customHeight="1">
      <c r="A10" s="15" t="inlineStr">
        <is>
          <t>Зөвхөн номын сэдэв орсон хичээлд заах боломжтой. Тиймээс «08 Номын сэдэв»-ийг гүйцээх нь эхний алхам.</t>
        </is>
      </c>
    </row>
  </sheetData>
  <autoFilter ref="A5:K8"/>
  <mergeCells count="4">
    <mergeCell ref="A3:H3"/>
    <mergeCell ref="A2:H2"/>
    <mergeCell ref="A10:H10"/>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8" customWidth="1" min="3" max="3"/>
    <col width="12" customWidth="1" min="4" max="4"/>
    <col width="10" customWidth="1" min="5" max="5"/>
    <col width="14" customWidth="1" min="6" max="6"/>
    <col width="14" customWidth="1" min="7" max="7"/>
    <col width="24" customWidth="1" min="8" max="8"/>
    <col width="18" customWidth="1" min="9" max="9"/>
    <col width="50" customWidth="1" min="10" max="10"/>
    <col width="10" customWidth="1" min="11" max="11"/>
    <col width="10" customWidth="1" min="12" max="12"/>
    <col width="20" customWidth="1" min="13" max="13"/>
  </cols>
  <sheetData>
    <row r="1">
      <c r="A1" s="16" t="inlineStr">
        <is>
          <t>Хичээлийн хуваарь   (★)</t>
        </is>
      </c>
    </row>
    <row r="2" ht="44" customHeight="1">
      <c r="A2" s="2" t="inlineStr">
        <is>
          <t>Аль анги, хэзээ, ямар хичээл, хэн заах, ямар сэдэв үзэхийг заана. БААЗАД ХООСОН. Доорх нь 6а ангийн нэг долоо хоногийн жишээ — сэдвүүдийг Математик VI номын бодит задаргаанаас авав.</t>
        </is>
      </c>
    </row>
    <row r="3">
      <c r="A3" s="23" t="inlineStr">
        <is>
          <t>ХООСОН — бүхэлдээ сургуулиас авах ёстой</t>
        </is>
      </c>
    </row>
    <row r="5" ht="32" customHeight="1">
      <c r="A5" s="18" t="inlineStr">
        <is>
          <t>Төлөв</t>
        </is>
      </c>
      <c r="B5" s="18" t="inlineStr">
        <is>
          <t>Ангийн код</t>
        </is>
      </c>
      <c r="C5" s="18" t="inlineStr">
        <is>
          <t>Анги</t>
        </is>
      </c>
      <c r="D5" s="18" t="inlineStr">
        <is>
          <t>Огноо</t>
        </is>
      </c>
      <c r="E5" s="18" t="inlineStr">
        <is>
          <t>Гараг</t>
        </is>
      </c>
      <c r="F5" s="18" t="inlineStr">
        <is>
          <t>Хичээлийн дугаар</t>
        </is>
      </c>
      <c r="G5" s="18" t="inlineStr">
        <is>
          <t>Хичээлийн код</t>
        </is>
      </c>
      <c r="H5" s="18" t="inlineStr">
        <is>
          <t>Хичээл</t>
        </is>
      </c>
      <c r="I5" s="18" t="inlineStr">
        <is>
          <t>Багш</t>
        </is>
      </c>
      <c r="J5" s="18" t="inlineStr">
        <is>
          <t>Үзэх сэдэв</t>
        </is>
      </c>
      <c r="K5" s="18" t="inlineStr">
        <is>
          <t>Хуудас</t>
        </is>
      </c>
      <c r="L5" s="18" t="inlineStr">
        <is>
          <t>Танхим</t>
        </is>
      </c>
      <c r="M5" s="18" t="inlineStr">
        <is>
          <t>Тэмдэглэл</t>
        </is>
      </c>
    </row>
    <row r="6">
      <c r="A6" s="6" t="inlineStr">
        <is>
          <t>ЖИШЭЭ</t>
        </is>
      </c>
      <c r="B6" s="21" t="inlineStr">
        <is>
          <t>EJ-2627-6A</t>
        </is>
      </c>
      <c r="C6" s="21" t="inlineStr">
        <is>
          <t>6а</t>
        </is>
      </c>
      <c r="D6" s="25" t="n">
        <v>46286</v>
      </c>
      <c r="E6" s="21" t="inlineStr">
        <is>
          <t>Даваа</t>
        </is>
      </c>
      <c r="F6" s="21" t="n">
        <v>1</v>
      </c>
      <c r="G6" s="21" t="inlineStr">
        <is>
          <t>MATH</t>
        </is>
      </c>
      <c r="H6" s="21" t="inlineStr">
        <is>
          <t>Математик</t>
        </is>
      </c>
      <c r="I6" s="21" t="inlineStr">
        <is>
          <t>Б.Буянзаяа</t>
        </is>
      </c>
      <c r="J6" s="24" t="inlineStr">
        <is>
          <t>II.4 Аравтын бутархайн нэмэх, хасах үйлдэл</t>
        </is>
      </c>
      <c r="K6" s="21" t="inlineStr">
        <is>
          <t>30–31</t>
        </is>
      </c>
      <c r="L6" s="21" t="inlineStr">
        <is>
          <t>201</t>
        </is>
      </c>
      <c r="M6" s="21" t="n"/>
    </row>
    <row r="7">
      <c r="A7" s="6" t="inlineStr">
        <is>
          <t>ЖИШЭЭ</t>
        </is>
      </c>
      <c r="B7" s="21" t="inlineStr">
        <is>
          <t>EJ-2627-6A</t>
        </is>
      </c>
      <c r="C7" s="21" t="inlineStr">
        <is>
          <t>6а</t>
        </is>
      </c>
      <c r="D7" s="25" t="n">
        <v>46286</v>
      </c>
      <c r="E7" s="21" t="inlineStr">
        <is>
          <t>Даваа</t>
        </is>
      </c>
      <c r="F7" s="21" t="n">
        <v>2</v>
      </c>
      <c r="G7" s="21" t="inlineStr">
        <is>
          <t>MGL</t>
        </is>
      </c>
      <c r="H7" s="21" t="inlineStr">
        <is>
          <t>Монгол хэл</t>
        </is>
      </c>
      <c r="I7" s="21" t="inlineStr">
        <is>
          <t>Н.Нансал</t>
        </is>
      </c>
      <c r="J7" s="21" t="inlineStr">
        <is>
          <t>I.3 Жинхэнэ нэрийн хэл зүйн шинж</t>
        </is>
      </c>
      <c r="K7" s="21" t="inlineStr">
        <is>
          <t>12–20</t>
        </is>
      </c>
      <c r="L7" s="21" t="inlineStr">
        <is>
          <t>201</t>
        </is>
      </c>
      <c r="M7" s="21" t="n"/>
    </row>
    <row r="8">
      <c r="A8" s="6" t="inlineStr">
        <is>
          <t>ЖИШЭЭ</t>
        </is>
      </c>
      <c r="B8" s="21" t="inlineStr">
        <is>
          <t>EJ-2627-6A</t>
        </is>
      </c>
      <c r="C8" s="21" t="inlineStr">
        <is>
          <t>6а</t>
        </is>
      </c>
      <c r="D8" s="25" t="n">
        <v>46286</v>
      </c>
      <c r="E8" s="21" t="inlineStr">
        <is>
          <t>Даваа</t>
        </is>
      </c>
      <c r="F8" s="21" t="n">
        <v>3</v>
      </c>
      <c r="G8" s="21" t="inlineStr">
        <is>
          <t>ENG</t>
        </is>
      </c>
      <c r="H8" s="21" t="inlineStr">
        <is>
          <t>Англи хэл</t>
        </is>
      </c>
      <c r="I8" s="21" t="inlineStr">
        <is>
          <t>Э.Дуламсүрэн</t>
        </is>
      </c>
      <c r="J8" s="21" t="inlineStr">
        <is>
          <t>Unit 2 — Daily routines</t>
        </is>
      </c>
      <c r="K8" s="21" t="n"/>
      <c r="L8" s="21" t="inlineStr">
        <is>
          <t>305</t>
        </is>
      </c>
      <c r="M8" s="21" t="n"/>
    </row>
    <row r="9">
      <c r="A9" s="6" t="inlineStr">
        <is>
          <t>ЖИШЭЭ</t>
        </is>
      </c>
      <c r="B9" s="21" t="inlineStr">
        <is>
          <t>EJ-2627-6A</t>
        </is>
      </c>
      <c r="C9" s="21" t="inlineStr">
        <is>
          <t>6а</t>
        </is>
      </c>
      <c r="D9" s="25" t="n">
        <v>46287</v>
      </c>
      <c r="E9" s="21" t="inlineStr">
        <is>
          <t>Мягмар</t>
        </is>
      </c>
      <c r="F9" s="21" t="n">
        <v>1</v>
      </c>
      <c r="G9" s="21" t="inlineStr">
        <is>
          <t>SCI</t>
        </is>
      </c>
      <c r="H9" s="21" t="inlineStr">
        <is>
          <t>Байгалийн ухаан</t>
        </is>
      </c>
      <c r="I9" s="21" t="inlineStr">
        <is>
          <t>Б.Отгонбулаг</t>
        </is>
      </c>
      <c r="J9" s="21" t="inlineStr">
        <is>
          <t>I.1 Амьд биетийн эрхтэн тогтолцоо</t>
        </is>
      </c>
      <c r="K9" s="21" t="inlineStr">
        <is>
          <t>6–12</t>
        </is>
      </c>
      <c r="L9" s="21" t="inlineStr">
        <is>
          <t>204</t>
        </is>
      </c>
      <c r="M9" s="21" t="n"/>
    </row>
    <row r="10">
      <c r="A10" s="6" t="inlineStr">
        <is>
          <t>ЖИШЭЭ</t>
        </is>
      </c>
      <c r="B10" s="21" t="inlineStr">
        <is>
          <t>EJ-2627-6A</t>
        </is>
      </c>
      <c r="C10" s="21" t="inlineStr">
        <is>
          <t>6а</t>
        </is>
      </c>
      <c r="D10" s="25" t="n">
        <v>46287</v>
      </c>
      <c r="E10" s="21" t="inlineStr">
        <is>
          <t>Мягмар</t>
        </is>
      </c>
      <c r="F10" s="21" t="n">
        <v>2</v>
      </c>
      <c r="G10" s="21" t="inlineStr">
        <is>
          <t>MATH</t>
        </is>
      </c>
      <c r="H10" s="21" t="inlineStr">
        <is>
          <t>Математик</t>
        </is>
      </c>
      <c r="I10" s="21" t="inlineStr">
        <is>
          <t>Б.Буянзаяа</t>
        </is>
      </c>
      <c r="J10" s="24" t="inlineStr">
        <is>
          <t>II.5 Аравтын бутархайг бүхэл тоогоор үржүүлэх</t>
        </is>
      </c>
      <c r="K10" s="21" t="inlineStr">
        <is>
          <t>32–35</t>
        </is>
      </c>
      <c r="L10" s="21" t="inlineStr">
        <is>
          <t>201</t>
        </is>
      </c>
      <c r="M10" s="21" t="n"/>
    </row>
    <row r="11">
      <c r="A11" s="6" t="inlineStr">
        <is>
          <t>ЖИШЭЭ</t>
        </is>
      </c>
      <c r="B11" s="21" t="inlineStr">
        <is>
          <t>EJ-2627-6A</t>
        </is>
      </c>
      <c r="C11" s="21" t="inlineStr">
        <is>
          <t>6а</t>
        </is>
      </c>
      <c r="D11" s="25" t="n">
        <v>46287</v>
      </c>
      <c r="E11" s="21" t="inlineStr">
        <is>
          <t>Мягмар</t>
        </is>
      </c>
      <c r="F11" s="21" t="n">
        <v>3</v>
      </c>
      <c r="G11" s="21" t="inlineStr">
        <is>
          <t>HIST</t>
        </is>
      </c>
      <c r="H11" s="21" t="inlineStr">
        <is>
          <t>Түүх</t>
        </is>
      </c>
      <c r="I11" s="21" t="inlineStr">
        <is>
          <t>Б.Амартүвшин</t>
        </is>
      </c>
      <c r="J11" s="21" t="inlineStr">
        <is>
          <t>I.1 Монголын эртний түүх</t>
        </is>
      </c>
      <c r="K11" s="21" t="inlineStr">
        <is>
          <t>5–9</t>
        </is>
      </c>
      <c r="L11" s="21" t="inlineStr">
        <is>
          <t>108</t>
        </is>
      </c>
      <c r="M11" s="21" t="n"/>
    </row>
    <row r="12">
      <c r="A12" s="6" t="inlineStr">
        <is>
          <t>ЖИШЭЭ</t>
        </is>
      </c>
      <c r="B12" s="21" t="inlineStr">
        <is>
          <t>EJ-2627-6A</t>
        </is>
      </c>
      <c r="C12" s="21" t="inlineStr">
        <is>
          <t>6а</t>
        </is>
      </c>
      <c r="D12" s="25" t="n">
        <v>46288</v>
      </c>
      <c r="E12" s="21" t="inlineStr">
        <is>
          <t>Лхагва</t>
        </is>
      </c>
      <c r="F12" s="21" t="n">
        <v>1</v>
      </c>
      <c r="G12" s="21" t="inlineStr">
        <is>
          <t>LIT</t>
        </is>
      </c>
      <c r="H12" s="21" t="inlineStr">
        <is>
          <t>Уран зохиол</t>
        </is>
      </c>
      <c r="I12" s="21" t="inlineStr">
        <is>
          <t>Т.Эрдэнээ</t>
        </is>
      </c>
      <c r="J12" s="21" t="inlineStr">
        <is>
          <t>I.1 Ардын аман зохиол</t>
        </is>
      </c>
      <c r="K12" s="21" t="inlineStr">
        <is>
          <t>4–11</t>
        </is>
      </c>
      <c r="L12" s="21" t="inlineStr">
        <is>
          <t>201</t>
        </is>
      </c>
      <c r="M12" s="21" t="n"/>
    </row>
    <row r="13">
      <c r="A13" s="6" t="inlineStr">
        <is>
          <t>ЖИШЭЭ</t>
        </is>
      </c>
      <c r="B13" s="21" t="inlineStr">
        <is>
          <t>EJ-2627-6A</t>
        </is>
      </c>
      <c r="C13" s="21" t="inlineStr">
        <is>
          <t>6а</t>
        </is>
      </c>
      <c r="D13" s="25" t="n">
        <v>46288</v>
      </c>
      <c r="E13" s="21" t="inlineStr">
        <is>
          <t>Лхагва</t>
        </is>
      </c>
      <c r="F13" s="21" t="n">
        <v>2</v>
      </c>
      <c r="G13" s="21" t="inlineStr">
        <is>
          <t>MATH</t>
        </is>
      </c>
      <c r="H13" s="21" t="inlineStr">
        <is>
          <t>Математик</t>
        </is>
      </c>
      <c r="I13" s="21" t="inlineStr">
        <is>
          <t>Б.Буянзаяа</t>
        </is>
      </c>
      <c r="J13" s="21" t="inlineStr">
        <is>
          <t>II.6 Аравтын бутархайн үржүүлэх, хуваах</t>
        </is>
      </c>
      <c r="K13" s="21" t="inlineStr">
        <is>
          <t>36–38</t>
        </is>
      </c>
      <c r="L13" s="21" t="inlineStr">
        <is>
          <t>201</t>
        </is>
      </c>
      <c r="M13" s="21" t="n"/>
    </row>
    <row r="14">
      <c r="A14" s="6" t="inlineStr">
        <is>
          <t>ЖИШЭЭ</t>
        </is>
      </c>
      <c r="B14" s="21" t="inlineStr">
        <is>
          <t>EJ-2627-6A</t>
        </is>
      </c>
      <c r="C14" s="21" t="inlineStr">
        <is>
          <t>6а</t>
        </is>
      </c>
      <c r="D14" s="25" t="n">
        <v>46289</v>
      </c>
      <c r="E14" s="21" t="inlineStr">
        <is>
          <t>Пүрэв</t>
        </is>
      </c>
      <c r="F14" s="21" t="n">
        <v>1</v>
      </c>
      <c r="G14" s="21" t="inlineStr">
        <is>
          <t>ART</t>
        </is>
      </c>
      <c r="H14" s="21" t="inlineStr">
        <is>
          <t>Дүрслэх урлаг</t>
        </is>
      </c>
      <c r="I14" s="21" t="inlineStr">
        <is>
          <t>Э.Номуундарь</t>
        </is>
      </c>
      <c r="J14" s="21" t="inlineStr">
        <is>
          <t>I.1 Өнгөний зохицол</t>
        </is>
      </c>
      <c r="K14" s="21" t="inlineStr">
        <is>
          <t>5–10</t>
        </is>
      </c>
      <c r="L14" s="21" t="inlineStr">
        <is>
          <t>110</t>
        </is>
      </c>
      <c r="M14" s="21" t="n"/>
    </row>
    <row r="15">
      <c r="A15" s="6" t="inlineStr">
        <is>
          <t>ЖИШЭЭ</t>
        </is>
      </c>
      <c r="B15" s="21" t="inlineStr">
        <is>
          <t>EJ-2627-6A</t>
        </is>
      </c>
      <c r="C15" s="21" t="inlineStr">
        <is>
          <t>6а</t>
        </is>
      </c>
      <c r="D15" s="25" t="n">
        <v>46289</v>
      </c>
      <c r="E15" s="21" t="inlineStr">
        <is>
          <t>Пүрэв</t>
        </is>
      </c>
      <c r="F15" s="21" t="n">
        <v>2</v>
      </c>
      <c r="G15" s="21" t="inlineStr">
        <is>
          <t>ETHICS</t>
        </is>
      </c>
      <c r="H15" s="21" t="inlineStr">
        <is>
          <t>Иргэний ёс зүйн боловсрол</t>
        </is>
      </c>
      <c r="I15" s="21" t="inlineStr">
        <is>
          <t>А.Мөнхнаран</t>
        </is>
      </c>
      <c r="J15" s="21" t="inlineStr">
        <is>
          <t>I.1 Иргэний үүрэг</t>
        </is>
      </c>
      <c r="K15" s="21" t="inlineStr">
        <is>
          <t>4–9</t>
        </is>
      </c>
      <c r="L15" s="21" t="inlineStr">
        <is>
          <t>201</t>
        </is>
      </c>
      <c r="M15" s="21" t="n"/>
    </row>
    <row r="16">
      <c r="A16" s="6" t="inlineStr">
        <is>
          <t>ЖИШЭЭ</t>
        </is>
      </c>
      <c r="B16" s="21" t="inlineStr">
        <is>
          <t>EJ-2627-6A</t>
        </is>
      </c>
      <c r="C16" s="21" t="inlineStr">
        <is>
          <t>6а</t>
        </is>
      </c>
      <c r="D16" s="25" t="n">
        <v>46290</v>
      </c>
      <c r="E16" s="21" t="inlineStr">
        <is>
          <t>Баасан</t>
        </is>
      </c>
      <c r="F16" s="21" t="n">
        <v>1</v>
      </c>
      <c r="G16" s="21" t="inlineStr">
        <is>
          <t>MATH</t>
        </is>
      </c>
      <c r="H16" s="21" t="inlineStr">
        <is>
          <t>Математик</t>
        </is>
      </c>
      <c r="I16" s="21" t="inlineStr">
        <is>
          <t>Б.Буянзаяа</t>
        </is>
      </c>
      <c r="J16" s="21" t="inlineStr">
        <is>
          <t>II.7 Хялбар аргаар тооцоолох</t>
        </is>
      </c>
      <c r="K16" s="21" t="inlineStr">
        <is>
          <t>39</t>
        </is>
      </c>
      <c r="L16" s="21" t="inlineStr">
        <is>
          <t>201</t>
        </is>
      </c>
      <c r="M16" s="21" t="n"/>
    </row>
    <row r="17">
      <c r="A17" s="6" t="inlineStr">
        <is>
          <t>ЖИШЭЭ</t>
        </is>
      </c>
      <c r="B17" s="21" t="inlineStr">
        <is>
          <t>EJ-2627-6A</t>
        </is>
      </c>
      <c r="C17" s="21" t="inlineStr">
        <is>
          <t>6а</t>
        </is>
      </c>
      <c r="D17" s="25" t="n">
        <v>46290</v>
      </c>
      <c r="E17" s="21" t="inlineStr">
        <is>
          <t>Баасан</t>
        </is>
      </c>
      <c r="F17" s="21" t="n">
        <v>2</v>
      </c>
      <c r="G17" s="21" t="inlineStr">
        <is>
          <t>DTECH</t>
        </is>
      </c>
      <c r="H17" s="21" t="inlineStr">
        <is>
          <t>Дизайн технологи</t>
        </is>
      </c>
      <c r="I17" s="21" t="inlineStr">
        <is>
          <t>Э.Номуундарь</t>
        </is>
      </c>
      <c r="J17" s="21" t="inlineStr">
        <is>
          <t>I.1 Материал судлал</t>
        </is>
      </c>
      <c r="K17" s="21" t="inlineStr">
        <is>
          <t>5–12</t>
        </is>
      </c>
      <c r="L17" s="21" t="inlineStr">
        <is>
          <t>110</t>
        </is>
      </c>
      <c r="M17" s="21" t="n"/>
    </row>
    <row r="19" ht="30" customHeight="1">
      <c r="A19" s="15" t="inlineStr">
        <is>
          <t>Хэрэгтэй зүйл: анги бүрийн долоо хоногийн хуваарь — гараг, хичээлийн дугаар, хичээл, багш, танхим. Энэ нь «Өнөөдрийн хичээл» дэлгэцийн үндэс.</t>
        </is>
      </c>
    </row>
  </sheetData>
  <autoFilter ref="A5:M17"/>
  <mergeCells count="4">
    <mergeCell ref="A19:H19"/>
    <mergeCell ref="A3:H3"/>
    <mergeCell ref="A2:H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14" customWidth="1" min="3" max="3"/>
    <col width="18" customWidth="1" min="4" max="4"/>
    <col width="14" customWidth="1" min="5" max="5"/>
    <col width="8" customWidth="1" min="6" max="6"/>
    <col width="44" customWidth="1" min="7" max="7"/>
    <col width="44" customWidth="1" min="8" max="8"/>
    <col width="44" customWidth="1" min="9" max="9"/>
    <col width="26" customWidth="1" min="10" max="10"/>
    <col width="34" customWidth="1" min="11" max="11"/>
    <col width="12" customWidth="1" min="12" max="12"/>
    <col width="14" customWidth="1" min="13" max="13"/>
  </cols>
  <sheetData>
    <row r="1">
      <c r="A1" s="16" t="inlineStr">
        <is>
          <t>Нэг хичээлийн агуулга</t>
        </is>
      </c>
    </row>
    <row r="2" ht="44" customHeight="1">
      <c r="A2" s="2" t="inlineStr">
        <is>
          <t>Сурагч дэлгэцээс уншдаг агуулга: зорилт, тайлбар, жишээ, бие даалт. БААЗАД ХООСОН. Нэг хичээл нь номын нэг сэдэвтэй холбогдоно.</t>
        </is>
      </c>
    </row>
    <row r="3">
      <c r="A3" s="23" t="inlineStr">
        <is>
          <t>ХООСОН — бүхэлдээ сургуулиас авах ёстой</t>
        </is>
      </c>
    </row>
    <row r="5" ht="32" customHeight="1">
      <c r="A5" s="18" t="inlineStr">
        <is>
          <t>Төлөв</t>
        </is>
      </c>
      <c r="B5" s="18" t="inlineStr">
        <is>
          <t>Агуулгын код</t>
        </is>
      </c>
      <c r="C5" s="18" t="inlineStr">
        <is>
          <t>Хичээлийн код</t>
        </is>
      </c>
      <c r="D5" s="18" t="inlineStr">
        <is>
          <t>Хичээл</t>
        </is>
      </c>
      <c r="E5" s="18" t="inlineStr">
        <is>
          <t>Ангийн код</t>
        </is>
      </c>
      <c r="F5" s="18" t="inlineStr">
        <is>
          <t>Анги</t>
        </is>
      </c>
      <c r="G5" s="18" t="inlineStr">
        <is>
          <t>Номын сэдэв</t>
        </is>
      </c>
      <c r="H5" s="18" t="inlineStr">
        <is>
          <t>Суралцахуйн зорилт</t>
        </is>
      </c>
      <c r="I5" s="18" t="inlineStr">
        <is>
          <t>Тайлбар</t>
        </is>
      </c>
      <c r="J5" s="18" t="inlineStr">
        <is>
          <t>Жишээ</t>
        </is>
      </c>
      <c r="K5" s="18" t="inlineStr">
        <is>
          <t>Бие даалт</t>
        </is>
      </c>
      <c r="L5" s="18" t="inlineStr">
        <is>
          <t>Хугацаа (мин)</t>
        </is>
      </c>
      <c r="M5" s="18" t="inlineStr">
        <is>
          <t>Батлагдсан эсэх</t>
        </is>
      </c>
    </row>
    <row r="6">
      <c r="A6" s="6" t="inlineStr">
        <is>
          <t>ЖИШЭЭ</t>
        </is>
      </c>
      <c r="B6" s="21" t="inlineStr">
        <is>
          <t>L-6A-MATH-001</t>
        </is>
      </c>
      <c r="C6" s="21" t="inlineStr">
        <is>
          <t>MATH</t>
        </is>
      </c>
      <c r="D6" s="21" t="inlineStr">
        <is>
          <t>Математик</t>
        </is>
      </c>
      <c r="E6" s="21" t="inlineStr">
        <is>
          <t>EJ-2627-6A</t>
        </is>
      </c>
      <c r="F6" s="21" t="inlineStr">
        <is>
          <t>6а</t>
        </is>
      </c>
      <c r="G6" s="24" t="inlineStr">
        <is>
          <t>II.4 Аравтын бутархайн нэмэх, хасах үйлдэл</t>
        </is>
      </c>
      <c r="H6" s="24" t="inlineStr">
        <is>
          <t>Аравтын бутархай тоонуудыг багана хэлбэрээр нэмж, хасаж сурах</t>
        </is>
      </c>
      <c r="I6" s="24" t="inlineStr">
        <is>
          <t>Таслалыг таслалынх нь доор бичээд, дараа нь бүхэл тоо шиг нэмнэ.</t>
        </is>
      </c>
      <c r="J6" s="21" t="inlineStr">
        <is>
          <t>3.45 + 2.7 = 6.15</t>
        </is>
      </c>
      <c r="K6" s="21" t="inlineStr">
        <is>
          <t>Номын 31-р хуудасны 1–6 дасгал</t>
        </is>
      </c>
      <c r="L6" s="21" t="n">
        <v>40</v>
      </c>
      <c r="M6" s="21" t="inlineStr">
        <is>
          <t>Ноорог</t>
        </is>
      </c>
    </row>
    <row r="7">
      <c r="A7" s="6" t="inlineStr">
        <is>
          <t>ЖИШЭЭ</t>
        </is>
      </c>
      <c r="B7" s="21" t="inlineStr">
        <is>
          <t>L-6A-MATH-002</t>
        </is>
      </c>
      <c r="C7" s="21" t="inlineStr">
        <is>
          <t>MATH</t>
        </is>
      </c>
      <c r="D7" s="21" t="inlineStr">
        <is>
          <t>Математик</t>
        </is>
      </c>
      <c r="E7" s="21" t="inlineStr">
        <is>
          <t>EJ-2627-6A</t>
        </is>
      </c>
      <c r="F7" s="21" t="inlineStr">
        <is>
          <t>6а</t>
        </is>
      </c>
      <c r="G7" s="24" t="inlineStr">
        <is>
          <t>II.5 Аравтын бутархайг бүхэл тоогоор үржүүлэх</t>
        </is>
      </c>
      <c r="H7" s="24" t="inlineStr">
        <is>
          <t>Аравтын бутархайг бүхэл тоогоор үржүүлж, хуваах</t>
        </is>
      </c>
      <c r="I7" s="24" t="inlineStr">
        <is>
          <t>Эхлээд таслалгүй үржүүлээд, дараа нь таслалыг зөв байранд тавина.</t>
        </is>
      </c>
      <c r="J7" s="21" t="inlineStr">
        <is>
          <t>2.4 × 3 = 7.2</t>
        </is>
      </c>
      <c r="K7" s="21" t="inlineStr">
        <is>
          <t>Номын 34–35-р хуудасны дасгал</t>
        </is>
      </c>
      <c r="L7" s="21" t="n">
        <v>40</v>
      </c>
      <c r="M7" s="21" t="inlineStr">
        <is>
          <t>Ноорог</t>
        </is>
      </c>
    </row>
    <row r="8">
      <c r="A8" s="6" t="inlineStr">
        <is>
          <t>ЖИШЭЭ</t>
        </is>
      </c>
      <c r="B8" s="21" t="inlineStr">
        <is>
          <t>L-6A-MGL-001</t>
        </is>
      </c>
      <c r="C8" s="21" t="inlineStr">
        <is>
          <t>MGL</t>
        </is>
      </c>
      <c r="D8" s="21" t="inlineStr">
        <is>
          <t>Монгол хэл</t>
        </is>
      </c>
      <c r="E8" s="21" t="inlineStr">
        <is>
          <t>EJ-2627-6A</t>
        </is>
      </c>
      <c r="F8" s="21" t="inlineStr">
        <is>
          <t>6а</t>
        </is>
      </c>
      <c r="G8" s="21" t="inlineStr">
        <is>
          <t>I.3 Жинхэнэ нэрийн хэл зүйн шинж</t>
        </is>
      </c>
      <c r="H8" s="24" t="inlineStr">
        <is>
          <t>Жинхэнэ нэрийг таних, найруулгад гүйцэтгэх үүргийг тайлбарлах</t>
        </is>
      </c>
      <c r="I8" s="24" t="inlineStr">
        <is>
          <t>Жинхэнэ нэр нь юмс үзэгдлийн нэрийг заана.</t>
        </is>
      </c>
      <c r="J8" s="21" t="inlineStr">
        <is>
          <t>Уул, ном, багш — бүгд жинхэнэ нэр</t>
        </is>
      </c>
      <c r="K8" s="21" t="inlineStr">
        <is>
          <t>Номын 18–20-р хуудасны даалгавар</t>
        </is>
      </c>
      <c r="L8" s="21" t="n">
        <v>40</v>
      </c>
      <c r="M8" s="21" t="inlineStr">
        <is>
          <t>Ноорог</t>
        </is>
      </c>
    </row>
    <row r="10" ht="30" customHeight="1">
      <c r="A10" s="15" t="inlineStr">
        <is>
          <t>Агуулгыг багш бичиж, менежер батална гэж тохирсон.</t>
        </is>
      </c>
    </row>
  </sheetData>
  <autoFilter ref="A5:M8"/>
  <mergeCells count="4">
    <mergeCell ref="A3:H3"/>
    <mergeCell ref="A2:H2"/>
    <mergeCell ref="A10:H10"/>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4" customWidth="1" min="3" max="3"/>
    <col width="18" customWidth="1" min="4" max="4"/>
    <col width="8" customWidth="1" min="5" max="5"/>
    <col width="48" customWidth="1" min="6" max="6"/>
    <col width="52" customWidth="1" min="7" max="7"/>
    <col width="14" customWidth="1" min="8" max="8"/>
    <col width="16" customWidth="1" min="9" max="9"/>
  </cols>
  <sheetData>
    <row r="1">
      <c r="A1" s="16" t="inlineStr">
        <is>
          <t>Чадвар   (★)</t>
        </is>
      </c>
    </row>
    <row r="2" ht="44" customHeight="1">
      <c r="A2" s="2" t="inlineStr">
        <is>
          <t>Чадвар нь «сурагч юу чаддаг болох ёстой вэ» гэдгийг заана. Ном биш, ХИЧЭЭЛ + АНГИ дээр тодорхойлогддог — учир нь ном солигдож болно, чадвар үлддэг. Нэг чадварыг ихэвчлэн номын хэд хэдэн сэдвээр дамжуулж заана. БААЗАД ХООСОН.</t>
        </is>
      </c>
    </row>
    <row r="3">
      <c r="A3" s="23" t="inlineStr">
        <is>
          <t>ХООСОН — бүхэлдээ сургуулиас авах ёстой</t>
        </is>
      </c>
    </row>
    <row r="5" ht="32" customHeight="1">
      <c r="A5" s="18" t="inlineStr">
        <is>
          <t>Төлөв</t>
        </is>
      </c>
      <c r="B5" s="18" t="inlineStr">
        <is>
          <t>Чадварын код</t>
        </is>
      </c>
      <c r="C5" s="18" t="inlineStr">
        <is>
          <t>Хичээлийн код</t>
        </is>
      </c>
      <c r="D5" s="18" t="inlineStr">
        <is>
          <t>Хичээл</t>
        </is>
      </c>
      <c r="E5" s="18" t="inlineStr">
        <is>
          <t>Анги</t>
        </is>
      </c>
      <c r="F5" s="18" t="inlineStr">
        <is>
          <t>Чадварын нэр</t>
        </is>
      </c>
      <c r="G5" s="18" t="inlineStr">
        <is>
          <t>Суралцахуйн үр дүн</t>
        </is>
      </c>
      <c r="H5" s="18" t="inlineStr">
        <is>
          <t>Хүндрэл (1-5)</t>
        </is>
      </c>
      <c r="I5" s="18" t="inlineStr">
        <is>
          <t>Батлагдсан эсэх</t>
        </is>
      </c>
    </row>
    <row r="6">
      <c r="A6" s="6" t="inlineStr">
        <is>
          <t>ЖИШЭЭ</t>
        </is>
      </c>
      <c r="B6" s="21" t="inlineStr">
        <is>
          <t>MATH-6-01</t>
        </is>
      </c>
      <c r="C6" s="21" t="inlineStr">
        <is>
          <t>MATH</t>
        </is>
      </c>
      <c r="D6" s="21" t="inlineStr">
        <is>
          <t>Математик</t>
        </is>
      </c>
      <c r="E6" s="21" t="n">
        <v>6</v>
      </c>
      <c r="F6" s="24" t="inlineStr">
        <is>
          <t>Бүхэл тооны нэмэх, хасах, үржүүлэх, хуваах</t>
        </is>
      </c>
      <c r="G6" s="24" t="inlineStr">
        <is>
          <t>Бүхэл тоон дээр дөрвөн үйлдлийг алдаагүй гүйцэтгэх</t>
        </is>
      </c>
      <c r="H6" s="21" t="n">
        <v>1</v>
      </c>
      <c r="I6" s="21" t="inlineStr">
        <is>
          <t>Ноорог</t>
        </is>
      </c>
    </row>
    <row r="7">
      <c r="A7" s="6" t="inlineStr">
        <is>
          <t>ЖИШЭЭ</t>
        </is>
      </c>
      <c r="B7" s="21" t="inlineStr">
        <is>
          <t>MATH-6-02</t>
        </is>
      </c>
      <c r="C7" s="21" t="inlineStr">
        <is>
          <t>MATH</t>
        </is>
      </c>
      <c r="D7" s="21" t="inlineStr">
        <is>
          <t>Математик</t>
        </is>
      </c>
      <c r="E7" s="21" t="n">
        <v>6</v>
      </c>
      <c r="F7" s="21" t="inlineStr">
        <is>
          <t>Хуваагдах шинж, ЕИХХ, ЕБХ</t>
        </is>
      </c>
      <c r="G7" s="24" t="inlineStr">
        <is>
          <t>Тоо хуваагдах эсэхийг тодорхойлж, ерөнхий хуваагчийг олох</t>
        </is>
      </c>
      <c r="H7" s="21" t="n">
        <v>2</v>
      </c>
      <c r="I7" s="21" t="inlineStr">
        <is>
          <t>Ноорог</t>
        </is>
      </c>
    </row>
    <row r="8">
      <c r="A8" s="6" t="inlineStr">
        <is>
          <t>ЖИШЭЭ</t>
        </is>
      </c>
      <c r="B8" s="21" t="inlineStr">
        <is>
          <t>MATH-6-03</t>
        </is>
      </c>
      <c r="C8" s="21" t="inlineStr">
        <is>
          <t>MATH</t>
        </is>
      </c>
      <c r="D8" s="21" t="inlineStr">
        <is>
          <t>Математик</t>
        </is>
      </c>
      <c r="E8" s="21" t="n">
        <v>6</v>
      </c>
      <c r="F8" s="21" t="inlineStr">
        <is>
          <t>Аравтын бутархайг нэмэх, хасах</t>
        </is>
      </c>
      <c r="G8" s="24" t="inlineStr">
        <is>
          <t>Аравтын бутархай тоонуудыг багана хэлбэрээр нэмж, хасах</t>
        </is>
      </c>
      <c r="H8" s="21" t="n">
        <v>2</v>
      </c>
      <c r="I8" s="21" t="inlineStr">
        <is>
          <t>Ноорог</t>
        </is>
      </c>
    </row>
    <row r="9">
      <c r="A9" s="6" t="inlineStr">
        <is>
          <t>ЖИШЭЭ</t>
        </is>
      </c>
      <c r="B9" s="21" t="inlineStr">
        <is>
          <t>MATH-6-04</t>
        </is>
      </c>
      <c r="C9" s="21" t="inlineStr">
        <is>
          <t>MATH</t>
        </is>
      </c>
      <c r="D9" s="21" t="inlineStr">
        <is>
          <t>Математик</t>
        </is>
      </c>
      <c r="E9" s="21" t="n">
        <v>6</v>
      </c>
      <c r="F9" s="21" t="inlineStr">
        <is>
          <t>Аравтын бутархайг үржүүлэх, хуваах</t>
        </is>
      </c>
      <c r="G9" s="24" t="inlineStr">
        <is>
          <t>Аравтын бутархайг бүхэл тоо болон бутархайгаар үржүүлж, хуваах</t>
        </is>
      </c>
      <c r="H9" s="21" t="n">
        <v>3</v>
      </c>
      <c r="I9" s="21" t="inlineStr">
        <is>
          <t>Ноорог</t>
        </is>
      </c>
    </row>
    <row r="10">
      <c r="A10" s="6" t="inlineStr">
        <is>
          <t>ЖИШЭЭ</t>
        </is>
      </c>
      <c r="B10" s="21" t="inlineStr">
        <is>
          <t>MATH-6-05</t>
        </is>
      </c>
      <c r="C10" s="21" t="inlineStr">
        <is>
          <t>MATH</t>
        </is>
      </c>
      <c r="D10" s="21" t="inlineStr">
        <is>
          <t>Математик</t>
        </is>
      </c>
      <c r="E10" s="21" t="n">
        <v>6</v>
      </c>
      <c r="F10" s="21" t="inlineStr">
        <is>
          <t>Энгийн бутархайг хураах, жиших</t>
        </is>
      </c>
      <c r="G10" s="24" t="inlineStr">
        <is>
          <t>Энгийн бутархайг хурааж, хооронд нь жиших</t>
        </is>
      </c>
      <c r="H10" s="21" t="n">
        <v>2</v>
      </c>
      <c r="I10" s="21" t="inlineStr">
        <is>
          <t>Ноорог</t>
        </is>
      </c>
    </row>
    <row r="11">
      <c r="A11" s="6" t="inlineStr">
        <is>
          <t>ЖИШЭЭ</t>
        </is>
      </c>
      <c r="B11" s="21" t="inlineStr">
        <is>
          <t>MGL-6-01</t>
        </is>
      </c>
      <c r="C11" s="21" t="inlineStr">
        <is>
          <t>MGL</t>
        </is>
      </c>
      <c r="D11" s="21" t="inlineStr">
        <is>
          <t>Монгол хэл</t>
        </is>
      </c>
      <c r="E11" s="21" t="n">
        <v>6</v>
      </c>
      <c r="F11" s="24" t="inlineStr">
        <is>
          <t>Жинхэнэ нэрийн хэл зүйн шинжийг тодорхойлох</t>
        </is>
      </c>
      <c r="G11" s="24" t="inlineStr">
        <is>
          <t>Өгүүлбэрээс жинхэнэ нэрийг ялгаж, үүргийг тайлбарлах</t>
        </is>
      </c>
      <c r="H11" s="21" t="n">
        <v>2</v>
      </c>
      <c r="I11" s="21" t="inlineStr">
        <is>
          <t>Ноорог</t>
        </is>
      </c>
    </row>
    <row r="13" ht="30" customHeight="1">
      <c r="A13" s="15" t="inlineStr">
        <is>
          <t>Англи хэл дээр чадвар нь ангид биш CEFR түвшинд (A1–C2) наалддаг. Тиймээс «Анги» багана хоосон байж, оронд нь түвшин бичигдэнэ.</t>
        </is>
      </c>
    </row>
  </sheetData>
  <autoFilter ref="A5:I11"/>
  <mergeCells count="4">
    <mergeCell ref="A3:H3"/>
    <mergeCell ref="A2:H2"/>
    <mergeCell ref="A13:H13"/>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44" customWidth="1" min="3" max="3"/>
    <col width="18" customWidth="1" min="4" max="4"/>
    <col width="44" customWidth="1" min="5" max="5"/>
    <col width="14" customWidth="1" min="6" max="6"/>
    <col width="48" customWidth="1" min="7" max="7"/>
  </cols>
  <sheetData>
    <row r="1">
      <c r="A1" s="16" t="inlineStr">
        <is>
          <t>Чадвар ↔ чадвар (урьдач нөхцөл)</t>
        </is>
      </c>
    </row>
    <row r="2" ht="44" customHeight="1">
      <c r="A2" s="2" t="inlineStr">
        <is>
          <t>Аль чадварыг эзэмшихийн өмнө юуг мэдсэн байх ёстойг заана. Сурагч чадвараа эзэмшээгүй үед систем энэ гинжээр буцаж «юуг нөхөх ёстой»-г олдог. БААЗАД ХООСОН.</t>
        </is>
      </c>
    </row>
    <row r="3">
      <c r="A3" s="23" t="inlineStr">
        <is>
          <t>ХООСОН — бүхэлдээ сургуулиас авах ёстой</t>
        </is>
      </c>
    </row>
    <row r="5" ht="32" customHeight="1">
      <c r="A5" s="18" t="inlineStr">
        <is>
          <t>Төлөв</t>
        </is>
      </c>
      <c r="B5" s="18" t="inlineStr">
        <is>
          <t>Чадварын код</t>
        </is>
      </c>
      <c r="C5" s="18" t="inlineStr">
        <is>
          <t>Чадвар</t>
        </is>
      </c>
      <c r="D5" s="18" t="inlineStr">
        <is>
          <t>Урьдач чадварын код</t>
        </is>
      </c>
      <c r="E5" s="18" t="inlineStr">
        <is>
          <t>Урьдач чадвар</t>
        </is>
      </c>
      <c r="F5" s="18" t="inlineStr">
        <is>
          <t>Төрөл</t>
        </is>
      </c>
      <c r="G5" s="18" t="inlineStr">
        <is>
          <t>Тайлбар</t>
        </is>
      </c>
    </row>
    <row r="6">
      <c r="A6" s="6" t="inlineStr">
        <is>
          <t>ЖИШЭЭ</t>
        </is>
      </c>
      <c r="B6" s="21" t="inlineStr">
        <is>
          <t>MATH-6-03</t>
        </is>
      </c>
      <c r="C6" s="21" t="inlineStr">
        <is>
          <t>Аравтын бутархайг нэмэх, хасах</t>
        </is>
      </c>
      <c r="D6" s="21" t="inlineStr">
        <is>
          <t>MATH-6-01</t>
        </is>
      </c>
      <c r="E6" s="24" t="inlineStr">
        <is>
          <t>Бүхэл тооны нэмэх, хасах, үржүүлэх, хуваах</t>
        </is>
      </c>
      <c r="F6" s="21" t="inlineStr">
        <is>
          <t>ЗААВАЛ</t>
        </is>
      </c>
      <c r="G6" s="24" t="inlineStr">
        <is>
          <t>Бүхэл тооны үйлдэл мэдэхгүй бол бутархай нэмэх боломжгүй</t>
        </is>
      </c>
    </row>
    <row r="7">
      <c r="A7" s="6" t="inlineStr">
        <is>
          <t>ЖИШЭЭ</t>
        </is>
      </c>
      <c r="B7" s="21" t="inlineStr">
        <is>
          <t>MATH-6-04</t>
        </is>
      </c>
      <c r="C7" s="21" t="inlineStr">
        <is>
          <t>Аравтын бутархайг үржүүлэх, хуваах</t>
        </is>
      </c>
      <c r="D7" s="21" t="inlineStr">
        <is>
          <t>MATH-6-03</t>
        </is>
      </c>
      <c r="E7" s="21" t="inlineStr">
        <is>
          <t>Аравтын бутархайг нэмэх, хасах</t>
        </is>
      </c>
      <c r="F7" s="21" t="inlineStr">
        <is>
          <t>ЗААВАЛ</t>
        </is>
      </c>
      <c r="G7" s="21" t="n"/>
    </row>
    <row r="8">
      <c r="A8" s="6" t="inlineStr">
        <is>
          <t>ЖИШЭЭ</t>
        </is>
      </c>
      <c r="B8" s="21" t="inlineStr">
        <is>
          <t>MATH-6-02</t>
        </is>
      </c>
      <c r="C8" s="21" t="inlineStr">
        <is>
          <t>Хуваагдах шинж, ЕИХХ, ЕБХ</t>
        </is>
      </c>
      <c r="D8" s="21" t="inlineStr">
        <is>
          <t>MATH-6-01</t>
        </is>
      </c>
      <c r="E8" s="24" t="inlineStr">
        <is>
          <t>Бүхэл тооны нэмэх, хасах, үржүүлэх, хуваах</t>
        </is>
      </c>
      <c r="F8" s="21" t="inlineStr">
        <is>
          <t>ЗААВАЛ</t>
        </is>
      </c>
      <c r="G8" s="21" t="n"/>
    </row>
    <row r="9">
      <c r="A9" s="6" t="inlineStr">
        <is>
          <t>ЖИШЭЭ</t>
        </is>
      </c>
      <c r="B9" s="21" t="inlineStr">
        <is>
          <t>MATH-6-03</t>
        </is>
      </c>
      <c r="C9" s="21" t="inlineStr">
        <is>
          <t>Аравтын бутархайг нэмэх, хасах</t>
        </is>
      </c>
      <c r="D9" s="21" t="inlineStr">
        <is>
          <t>MATH-6-05</t>
        </is>
      </c>
      <c r="E9" s="21" t="inlineStr">
        <is>
          <t>Энгийн бутархайг хураах, жиших</t>
        </is>
      </c>
      <c r="F9" s="21" t="inlineStr">
        <is>
          <t>ЗӨВЛӨМЖ</t>
        </is>
      </c>
      <c r="G9" s="24" t="inlineStr">
        <is>
          <t>Хамт эзэмшвэл ойлголт бэхжинэ, гэхдээ заавал биш</t>
        </is>
      </c>
    </row>
    <row r="11" ht="30" customHeight="1">
      <c r="A11" s="15" t="inlineStr">
        <is>
          <t>Төрөл: ЗААВАЛ (REQUIRED), ЗӨВЛӨМЖ (RECOMMENDED), ХОЛБООТОЙ (RELATED). «Хувийн бэлтгэл»-ийн нөхөх ажил энэ гинжээс автоматаар тодорхойлогдоно.</t>
        </is>
      </c>
    </row>
  </sheetData>
  <autoFilter ref="A5:G9"/>
  <mergeCells count="4">
    <mergeCell ref="A11:G11"/>
    <mergeCell ref="A3:G3"/>
    <mergeCell ref="A2:G2"/>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3"/>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8" customWidth="1" min="3" max="3"/>
    <col width="16" customWidth="1" min="4" max="4"/>
    <col width="44" customWidth="1" min="5" max="5"/>
    <col width="12" customWidth="1" min="6" max="6"/>
    <col width="18" customWidth="1" min="7" max="7"/>
    <col width="14" customWidth="1" min="8" max="8"/>
    <col width="52" customWidth="1" min="9" max="9"/>
    <col width="12" customWidth="1" min="10" max="10"/>
    <col width="12" customWidth="1" min="11" max="11"/>
  </cols>
  <sheetData>
    <row r="1">
      <c r="A1" s="16" t="inlineStr">
        <is>
          <t>Чадвар ↔ номын сэдэв холбоос   (★)</t>
        </is>
      </c>
    </row>
    <row r="2" ht="44" customHeight="1">
      <c r="A2" s="2" t="inlineStr">
        <is>
          <t>Чадварыг номын аль хэсгээр заадгийг холбоно. Нэг чадвар олон сэдэвт, нэг сэдэв олон чадварт харьяалагдаж болно. Баазад энэ нь гурван хүснэгтээр хийгддэг: content_nodes (агуулгын зангилаа), content_skill_maps (зангилаа↔чадвар), content_source_alignments (зангилаа↔ном, хуудас). Энд гурвыг нэг харагдацад нэгтгэв. БААЗАД ХООСОН.</t>
        </is>
      </c>
    </row>
    <row r="3">
      <c r="A3" s="23" t="inlineStr">
        <is>
          <t>ХООСОН — бүхэлдээ сургуулиас авах ёстой</t>
        </is>
      </c>
    </row>
    <row r="5" ht="32" customHeight="1">
      <c r="A5" s="18" t="inlineStr">
        <is>
          <t>Төлөв</t>
        </is>
      </c>
      <c r="B5" s="18" t="inlineStr">
        <is>
          <t>Агуулгын код</t>
        </is>
      </c>
      <c r="C5" s="18" t="inlineStr">
        <is>
          <t>Агуулгын нэр</t>
        </is>
      </c>
      <c r="D5" s="18" t="inlineStr">
        <is>
          <t>Чадварын код</t>
        </is>
      </c>
      <c r="E5" s="18" t="inlineStr">
        <is>
          <t>Чадвар</t>
        </is>
      </c>
      <c r="F5" s="18" t="inlineStr">
        <is>
          <t>Үндсэн эсэх</t>
        </is>
      </c>
      <c r="G5" s="18" t="inlineStr">
        <is>
          <t>Номын код</t>
        </is>
      </c>
      <c r="H5" s="18" t="inlineStr">
        <is>
          <t>Сэдвийн дугаар</t>
        </is>
      </c>
      <c r="I5" s="18" t="inlineStr">
        <is>
          <t>Сэдвийн нэр</t>
        </is>
      </c>
      <c r="J5" s="18" t="inlineStr">
        <is>
          <t>Хуудас эхлэх</t>
        </is>
      </c>
      <c r="K5" s="18" t="inlineStr">
        <is>
          <t>Хуудас дуусах</t>
        </is>
      </c>
    </row>
    <row r="6">
      <c r="A6" s="6" t="inlineStr">
        <is>
          <t>ЖИШЭЭ</t>
        </is>
      </c>
      <c r="B6" s="21" t="inlineStr">
        <is>
          <t>T-MATH-6-INT</t>
        </is>
      </c>
      <c r="C6" s="21" t="inlineStr">
        <is>
          <t>Бүхэл тоо ба үйлдэл</t>
        </is>
      </c>
      <c r="D6" s="21" t="inlineStr">
        <is>
          <t>MATH-6-01</t>
        </is>
      </c>
      <c r="E6" s="24" t="inlineStr">
        <is>
          <t>Бүхэл тооны нэмэх, хасах, үржүүлэх, хуваах</t>
        </is>
      </c>
      <c r="F6" s="21" t="inlineStr">
        <is>
          <t>Тийм</t>
        </is>
      </c>
      <c r="G6" s="21" t="inlineStr">
        <is>
          <t>G06-MATH-MN</t>
        </is>
      </c>
      <c r="H6" s="21" t="inlineStr">
        <is>
          <t>I.2</t>
        </is>
      </c>
      <c r="I6" s="21" t="inlineStr">
        <is>
          <t>Бүхэл тооны нэмэх, хасах үйлдэл</t>
        </is>
      </c>
      <c r="J6" s="21" t="n">
        <v>7</v>
      </c>
      <c r="K6" s="21" t="n">
        <v>9</v>
      </c>
    </row>
    <row r="7">
      <c r="A7" s="6" t="inlineStr">
        <is>
          <t>ЖИШЭЭ</t>
        </is>
      </c>
      <c r="B7" s="21" t="inlineStr">
        <is>
          <t>T-MATH-6-DIV</t>
        </is>
      </c>
      <c r="C7" s="21" t="inlineStr">
        <is>
          <t>Хуваагдах шинж</t>
        </is>
      </c>
      <c r="D7" s="21" t="inlineStr">
        <is>
          <t>MATH-6-02</t>
        </is>
      </c>
      <c r="E7" s="21" t="inlineStr">
        <is>
          <t>Хуваагдах шинж, ЕИХХ, ЕБХ</t>
        </is>
      </c>
      <c r="F7" s="21" t="inlineStr">
        <is>
          <t>Тийм</t>
        </is>
      </c>
      <c r="G7" s="21" t="inlineStr">
        <is>
          <t>G06-MATH-MN</t>
        </is>
      </c>
      <c r="H7" s="21" t="inlineStr">
        <is>
          <t>I.4</t>
        </is>
      </c>
      <c r="I7" s="21" t="inlineStr">
        <is>
          <t>4, 6 ба 8-д хуваагдах тооны шинж</t>
        </is>
      </c>
      <c r="J7" s="21" t="n">
        <v>12</v>
      </c>
      <c r="K7" s="21" t="n">
        <v>13</v>
      </c>
    </row>
    <row r="8">
      <c r="A8" s="6" t="inlineStr">
        <is>
          <t>ЖИШЭЭ</t>
        </is>
      </c>
      <c r="B8" s="21" t="inlineStr">
        <is>
          <t>T-MATH-6-DEC</t>
        </is>
      </c>
      <c r="C8" s="21" t="inlineStr">
        <is>
          <t>Аравтын бутархайн үйлдэл</t>
        </is>
      </c>
      <c r="D8" s="21" t="inlineStr">
        <is>
          <t>MATH-6-03</t>
        </is>
      </c>
      <c r="E8" s="21" t="inlineStr">
        <is>
          <t>Аравтын бутархайг нэмэх, хасах</t>
        </is>
      </c>
      <c r="F8" s="21" t="inlineStr">
        <is>
          <t>Тийм</t>
        </is>
      </c>
      <c r="G8" s="21" t="inlineStr">
        <is>
          <t>G06-MATH-MN</t>
        </is>
      </c>
      <c r="H8" s="21" t="inlineStr">
        <is>
          <t>II.4</t>
        </is>
      </c>
      <c r="I8" s="21" t="inlineStr">
        <is>
          <t>Аравтын бутархайн нэмэх, хасах үйлдэл</t>
        </is>
      </c>
      <c r="J8" s="21" t="n">
        <v>30</v>
      </c>
      <c r="K8" s="21" t="n">
        <v>31</v>
      </c>
    </row>
    <row r="9">
      <c r="A9" s="6" t="inlineStr">
        <is>
          <t>ЖИШЭЭ</t>
        </is>
      </c>
      <c r="B9" s="21" t="inlineStr">
        <is>
          <t>T-MATH-6-DEC</t>
        </is>
      </c>
      <c r="C9" s="21" t="inlineStr">
        <is>
          <t>Аравтын бутархайн үйлдэл</t>
        </is>
      </c>
      <c r="D9" s="21" t="inlineStr">
        <is>
          <t>MATH-6-04</t>
        </is>
      </c>
      <c r="E9" s="21" t="inlineStr">
        <is>
          <t>Аравтын бутархайг үржүүлэх, хуваах</t>
        </is>
      </c>
      <c r="F9" s="21" t="inlineStr">
        <is>
          <t>Үгүй</t>
        </is>
      </c>
      <c r="G9" s="21" t="inlineStr">
        <is>
          <t>G06-MATH-MN</t>
        </is>
      </c>
      <c r="H9" s="21" t="inlineStr">
        <is>
          <t>II.5</t>
        </is>
      </c>
      <c r="I9" s="24" t="inlineStr">
        <is>
          <t>Аравтын бутархайг бүхэл тоогоор үржүүлэх, бүхэл тоонд хуваах</t>
        </is>
      </c>
      <c r="J9" s="21" t="n">
        <v>32</v>
      </c>
      <c r="K9" s="21" t="n">
        <v>35</v>
      </c>
    </row>
    <row r="10">
      <c r="A10" s="6" t="inlineStr">
        <is>
          <t>ЖИШЭЭ</t>
        </is>
      </c>
      <c r="B10" s="21" t="inlineStr">
        <is>
          <t>T-MATH-6-FRAC</t>
        </is>
      </c>
      <c r="C10" s="21" t="inlineStr">
        <is>
          <t>Энгийн бутархай</t>
        </is>
      </c>
      <c r="D10" s="21" t="inlineStr">
        <is>
          <t>MATH-6-05</t>
        </is>
      </c>
      <c r="E10" s="21" t="inlineStr">
        <is>
          <t>Энгийн бутархайг хураах, жиших</t>
        </is>
      </c>
      <c r="F10" s="21" t="inlineStr">
        <is>
          <t>Тийм</t>
        </is>
      </c>
      <c r="G10" s="21" t="inlineStr">
        <is>
          <t>G06-MATH-MN</t>
        </is>
      </c>
      <c r="H10" s="21" t="inlineStr">
        <is>
          <t>II.8</t>
        </is>
      </c>
      <c r="I10" s="21" t="inlineStr">
        <is>
          <t>Энгийн бутархайг хураах, жиших</t>
        </is>
      </c>
      <c r="J10" s="21" t="n">
        <v>40</v>
      </c>
      <c r="K10" s="21" t="n">
        <v>42</v>
      </c>
    </row>
    <row r="11">
      <c r="A11" s="6" t="inlineStr">
        <is>
          <t>ЖИШЭЭ</t>
        </is>
      </c>
      <c r="B11" s="21" t="inlineStr">
        <is>
          <t>T-MGL-6-NOUN</t>
        </is>
      </c>
      <c r="C11" s="21" t="inlineStr">
        <is>
          <t>Жинхэнэ нэр</t>
        </is>
      </c>
      <c r="D11" s="21" t="inlineStr">
        <is>
          <t>MGL-6-01</t>
        </is>
      </c>
      <c r="E11" s="24" t="inlineStr">
        <is>
          <t>Жинхэнэ нэрийн хэл зүйн шинжийг тодорхойлох</t>
        </is>
      </c>
      <c r="F11" s="21" t="inlineStr">
        <is>
          <t>Тийм</t>
        </is>
      </c>
      <c r="G11" s="21" t="inlineStr">
        <is>
          <t>G06-MGL-MN</t>
        </is>
      </c>
      <c r="H11" s="21" t="inlineStr">
        <is>
          <t>I.3</t>
        </is>
      </c>
      <c r="I11" s="24" t="inlineStr">
        <is>
          <t>Жинхэнэ нэрийн хэл зүйн шинж, найруулгын үүргийг тодорхойлох</t>
        </is>
      </c>
      <c r="J11" s="21" t="n">
        <v>12</v>
      </c>
      <c r="K11" s="21" t="n">
        <v>20</v>
      </c>
    </row>
    <row r="13" ht="30" customHeight="1">
      <c r="A13" s="15" t="inlineStr">
        <is>
          <t>«Үндсэн эсэх» = энэ сэдэв тухайн чадварыг ҮНДСЭНД нь заадаг эсэх. Нэг зангилаанд зөвхөн нэг үндсэн чадвар байна.</t>
        </is>
      </c>
    </row>
  </sheetData>
  <autoFilter ref="A5:K11"/>
  <mergeCells count="4">
    <mergeCell ref="A3:H3"/>
    <mergeCell ref="A2:H2"/>
    <mergeCell ref="A13:H13"/>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3"/>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4" customWidth="1" min="3" max="3"/>
    <col width="8" customWidth="1" min="4" max="4"/>
    <col width="16" customWidth="1" min="5" max="5"/>
    <col width="42" customWidth="1" min="6" max="6"/>
    <col width="14" customWidth="1" min="7" max="7"/>
    <col width="46" customWidth="1" min="8" max="8"/>
    <col width="12" customWidth="1" min="9" max="9"/>
    <col width="12" customWidth="1" min="10" max="10"/>
    <col width="10" customWidth="1" min="11" max="11"/>
    <col width="56" customWidth="1" min="12" max="12"/>
    <col width="16" customWidth="1" min="13" max="13"/>
    <col width="12" customWidth="1" min="14" max="14"/>
    <col width="48" customWidth="1" min="15" max="15"/>
    <col width="16" customWidth="1" min="16" max="16"/>
  </cols>
  <sheetData>
    <row r="1">
      <c r="A1" s="16" t="inlineStr">
        <is>
          <t>Асуултын сан   (★ ЧАДВАР БА СЭДЭВ ХОЁУЛАНД ХОЛБОГДОНО)</t>
        </is>
      </c>
    </row>
    <row r="2" ht="44" customHeight="1">
      <c r="A2" s="2" t="inlineStr">
        <is>
          <t>Асуулт бүр ХОЁР зүйлд заана: аль ЧАДВАРЫГ хэмжиж байгаа, номын аль СЭДВИЙН дараа асуух вэ. Энэ хоёр байхгүй бол асуултыг зөв газар нь тавьж чадахгүй: чадваргүй бол ахиц хэмжигдэхгүй, сэдэвгүй бол нэг чадварын бүх асуулт эхний өдрөөс харагдана. БААЗАД ХООСОН.</t>
        </is>
      </c>
    </row>
    <row r="3">
      <c r="A3" s="23" t="inlineStr">
        <is>
          <t>ХООСОН — бүхэлдээ сургуулиас авах ёстой</t>
        </is>
      </c>
    </row>
    <row r="5" ht="32" customHeight="1">
      <c r="A5" s="18" t="inlineStr">
        <is>
          <t>Төлөв</t>
        </is>
      </c>
      <c r="B5" s="18" t="inlineStr">
        <is>
          <t>Асуултын код</t>
        </is>
      </c>
      <c r="C5" s="18" t="inlineStr">
        <is>
          <t>Хичээлийн код</t>
        </is>
      </c>
      <c r="D5" s="18" t="inlineStr">
        <is>
          <t>Анги</t>
        </is>
      </c>
      <c r="E5" s="18" t="inlineStr">
        <is>
          <t>Чадварын код</t>
        </is>
      </c>
      <c r="F5" s="18" t="inlineStr">
        <is>
          <t>Чадвар</t>
        </is>
      </c>
      <c r="G5" s="18" t="inlineStr">
        <is>
          <t>Сэдвийн дугаар</t>
        </is>
      </c>
      <c r="H5" s="18" t="inlineStr">
        <is>
          <t>Сэдвийн нэр</t>
        </is>
      </c>
      <c r="I5" s="18" t="inlineStr">
        <is>
          <t>Хуудас эхлэх</t>
        </is>
      </c>
      <c r="J5" s="18" t="inlineStr">
        <is>
          <t>Хуудас дуусах</t>
        </is>
      </c>
      <c r="K5" s="18" t="inlineStr">
        <is>
          <t>Дараалал</t>
        </is>
      </c>
      <c r="L5" s="18" t="inlineStr">
        <is>
          <t>Асуулт</t>
        </is>
      </c>
      <c r="M5" s="18" t="inlineStr">
        <is>
          <t>Төрөл</t>
        </is>
      </c>
      <c r="N5" s="18" t="inlineStr">
        <is>
          <t>Нийт оноо</t>
        </is>
      </c>
      <c r="O5" s="18" t="inlineStr">
        <is>
          <t>Үнэлэх заавар</t>
        </is>
      </c>
      <c r="P5" s="18" t="inlineStr">
        <is>
          <t>Батлагдсан эсэх</t>
        </is>
      </c>
    </row>
    <row r="6">
      <c r="A6" s="6" t="inlineStr">
        <is>
          <t>ЖИШЭЭ</t>
        </is>
      </c>
      <c r="B6" s="21" t="inlineStr">
        <is>
          <t>Q-M6-0301</t>
        </is>
      </c>
      <c r="C6" s="21" t="inlineStr">
        <is>
          <t>MATH</t>
        </is>
      </c>
      <c r="D6" s="21" t="n">
        <v>6</v>
      </c>
      <c r="E6" s="21" t="inlineStr">
        <is>
          <t>MATH-6-03</t>
        </is>
      </c>
      <c r="F6" s="21" t="inlineStr">
        <is>
          <t>Аравтын бутархайг нэмэх, хасах</t>
        </is>
      </c>
      <c r="G6" s="21" t="inlineStr">
        <is>
          <t>II.4</t>
        </is>
      </c>
      <c r="H6" s="21" t="inlineStr">
        <is>
          <t>Аравтын бутархайн нэмэх, хасах үйлдэл</t>
        </is>
      </c>
      <c r="I6" s="21" t="n">
        <v>30</v>
      </c>
      <c r="J6" s="21" t="n">
        <v>31</v>
      </c>
      <c r="K6" s="21" t="n">
        <v>1</v>
      </c>
      <c r="L6" s="21" t="inlineStr">
        <is>
          <t>3.45 + 2.7 үйлдлийн үр дүнг ол.</t>
        </is>
      </c>
      <c r="M6" s="21" t="inlineStr">
        <is>
          <t>Сонголттой</t>
        </is>
      </c>
      <c r="N6" s="21" t="n">
        <v>1</v>
      </c>
      <c r="O6" s="24" t="inlineStr">
        <is>
          <t>Зөв хариулт 1 оноо. Хэсэгчилсэн оноо байхгүй.</t>
        </is>
      </c>
      <c r="P6" s="21" t="inlineStr">
        <is>
          <t>Ноорог</t>
        </is>
      </c>
    </row>
    <row r="7">
      <c r="A7" s="6" t="inlineStr">
        <is>
          <t>ЖИШЭЭ</t>
        </is>
      </c>
      <c r="B7" s="21" t="inlineStr">
        <is>
          <t>Q-M6-0302</t>
        </is>
      </c>
      <c r="C7" s="21" t="inlineStr">
        <is>
          <t>MATH</t>
        </is>
      </c>
      <c r="D7" s="21" t="n">
        <v>6</v>
      </c>
      <c r="E7" s="21" t="inlineStr">
        <is>
          <t>MATH-6-03</t>
        </is>
      </c>
      <c r="F7" s="21" t="inlineStr">
        <is>
          <t>Аравтын бутархайг нэмэх, хасах</t>
        </is>
      </c>
      <c r="G7" s="21" t="inlineStr">
        <is>
          <t>II.4</t>
        </is>
      </c>
      <c r="H7" s="21" t="inlineStr">
        <is>
          <t>Аравтын бутархайн нэмэх, хасах үйлдэл</t>
        </is>
      </c>
      <c r="I7" s="21" t="n">
        <v>30</v>
      </c>
      <c r="J7" s="21" t="n">
        <v>31</v>
      </c>
      <c r="K7" s="21" t="n">
        <v>2</v>
      </c>
      <c r="L7" s="21" t="inlineStr">
        <is>
          <t>8.2 − 5.47 үйлдлийн үр дүнг ол.</t>
        </is>
      </c>
      <c r="M7" s="21" t="inlineStr">
        <is>
          <t>Сонголттой</t>
        </is>
      </c>
      <c r="N7" s="21" t="n">
        <v>1</v>
      </c>
      <c r="O7" s="21" t="inlineStr">
        <is>
          <t>Зөв хариулт 1 оноо.</t>
        </is>
      </c>
      <c r="P7" s="21" t="inlineStr">
        <is>
          <t>Ноорог</t>
        </is>
      </c>
    </row>
    <row r="8">
      <c r="A8" s="6" t="inlineStr">
        <is>
          <t>ЖИШЭЭ</t>
        </is>
      </c>
      <c r="B8" s="21" t="inlineStr">
        <is>
          <t>Q-M6-0303</t>
        </is>
      </c>
      <c r="C8" s="21" t="inlineStr">
        <is>
          <t>MATH</t>
        </is>
      </c>
      <c r="D8" s="21" t="n">
        <v>6</v>
      </c>
      <c r="E8" s="21" t="inlineStr">
        <is>
          <t>MATH-6-03</t>
        </is>
      </c>
      <c r="F8" s="21" t="inlineStr">
        <is>
          <t>Аравтын бутархайг нэмэх, хасах</t>
        </is>
      </c>
      <c r="G8" s="21" t="inlineStr">
        <is>
          <t>II.4</t>
        </is>
      </c>
      <c r="H8" s="21" t="inlineStr">
        <is>
          <t>Аравтын бутархайн нэмэх, хасах үйлдэл</t>
        </is>
      </c>
      <c r="I8" s="21" t="n">
        <v>30</v>
      </c>
      <c r="J8" s="21" t="n">
        <v>31</v>
      </c>
      <c r="K8" s="21" t="n">
        <v>3</v>
      </c>
      <c r="L8" s="24" t="inlineStr">
        <is>
          <t>Дэлгүүрээс 2.5 кг алим, 1.75 кг жүрж авав. Нийт хэдэн кг жимс авсан бэ? Бодолтыг бич.</t>
        </is>
      </c>
      <c r="M8" s="21" t="inlineStr">
        <is>
          <t>Нээлттэй бодлого</t>
        </is>
      </c>
      <c r="N8" s="21" t="n">
        <v>2</v>
      </c>
      <c r="O8" s="24" t="inlineStr">
        <is>
          <t>Бодолт зөв бичигдсэн бол 1 оноо, хариу зөв бол нэмж 1 оноо (нийт 2).</t>
        </is>
      </c>
      <c r="P8" s="21" t="inlineStr">
        <is>
          <t>Ноорог</t>
        </is>
      </c>
    </row>
    <row r="9">
      <c r="A9" s="6" t="inlineStr">
        <is>
          <t>ЖИШЭЭ</t>
        </is>
      </c>
      <c r="B9" s="21" t="inlineStr">
        <is>
          <t>Q-M6-0401</t>
        </is>
      </c>
      <c r="C9" s="21" t="inlineStr">
        <is>
          <t>MATH</t>
        </is>
      </c>
      <c r="D9" s="21" t="n">
        <v>6</v>
      </c>
      <c r="E9" s="21" t="inlineStr">
        <is>
          <t>MATH-6-04</t>
        </is>
      </c>
      <c r="F9" s="21" t="inlineStr">
        <is>
          <t>Аравтын бутархайг үржүүлэх, хуваах</t>
        </is>
      </c>
      <c r="G9" s="21" t="inlineStr">
        <is>
          <t>II.5</t>
        </is>
      </c>
      <c r="H9" s="24" t="inlineStr">
        <is>
          <t>Аравтын бутархайг бүхэл тоогоор үржүүлэх, бүхэл тоонд хуваах</t>
        </is>
      </c>
      <c r="I9" s="21" t="n">
        <v>32</v>
      </c>
      <c r="J9" s="21" t="n">
        <v>35</v>
      </c>
      <c r="K9" s="21" t="n">
        <v>1</v>
      </c>
      <c r="L9" s="21" t="inlineStr">
        <is>
          <t>2.4 × 3 үйлдлийн үр дүнг ол.</t>
        </is>
      </c>
      <c r="M9" s="21" t="inlineStr">
        <is>
          <t>Сонголттой</t>
        </is>
      </c>
      <c r="N9" s="21" t="n">
        <v>1</v>
      </c>
      <c r="O9" s="21" t="inlineStr">
        <is>
          <t>Зөв хариулт 1 оноо.</t>
        </is>
      </c>
      <c r="P9" s="21" t="inlineStr">
        <is>
          <t>Ноорог</t>
        </is>
      </c>
    </row>
    <row r="10">
      <c r="A10" s="6" t="inlineStr">
        <is>
          <t>ЖИШЭЭ</t>
        </is>
      </c>
      <c r="B10" s="21" t="inlineStr">
        <is>
          <t>Q-M6-0101</t>
        </is>
      </c>
      <c r="C10" s="21" t="inlineStr">
        <is>
          <t>MATH</t>
        </is>
      </c>
      <c r="D10" s="21" t="n">
        <v>6</v>
      </c>
      <c r="E10" s="21" t="inlineStr">
        <is>
          <t>MATH-6-01</t>
        </is>
      </c>
      <c r="F10" s="24" t="inlineStr">
        <is>
          <t>Бүхэл тооны нэмэх, хасах, үржүүлэх, хуваах</t>
        </is>
      </c>
      <c r="G10" s="21" t="inlineStr">
        <is>
          <t>I.2</t>
        </is>
      </c>
      <c r="H10" s="21" t="inlineStr">
        <is>
          <t>Бүхэл тооны нэмэх, хасах үйлдэл</t>
        </is>
      </c>
      <c r="I10" s="21" t="n">
        <v>7</v>
      </c>
      <c r="J10" s="21" t="n">
        <v>9</v>
      </c>
      <c r="K10" s="21" t="n">
        <v>1</v>
      </c>
      <c r="L10" s="21" t="inlineStr">
        <is>
          <t>345 + 278 үйлдлийн үр дүнг ол.</t>
        </is>
      </c>
      <c r="M10" s="21" t="inlineStr">
        <is>
          <t>Сонголттой</t>
        </is>
      </c>
      <c r="N10" s="21" t="n">
        <v>1</v>
      </c>
      <c r="O10" s="21" t="inlineStr">
        <is>
          <t>Зөв хариулт 1 оноо.</t>
        </is>
      </c>
      <c r="P10" s="21" t="inlineStr">
        <is>
          <t>Ноорог</t>
        </is>
      </c>
    </row>
    <row r="11">
      <c r="A11" s="6" t="inlineStr">
        <is>
          <t>ЖИШЭЭ</t>
        </is>
      </c>
      <c r="B11" s="21" t="inlineStr">
        <is>
          <t>Q-MGL6-0101</t>
        </is>
      </c>
      <c r="C11" s="21" t="inlineStr">
        <is>
          <t>MGL</t>
        </is>
      </c>
      <c r="D11" s="21" t="n">
        <v>6</v>
      </c>
      <c r="E11" s="21" t="inlineStr">
        <is>
          <t>MGL-6-01</t>
        </is>
      </c>
      <c r="F11" s="24" t="inlineStr">
        <is>
          <t>Жинхэнэ нэрийн хэл зүйн шинжийг тодорхойлох</t>
        </is>
      </c>
      <c r="G11" s="21" t="inlineStr">
        <is>
          <t>I.3</t>
        </is>
      </c>
      <c r="H11" s="24" t="inlineStr">
        <is>
          <t>Жинхэнэ нэрийн хэл зүйн шинж, найруулгын үүргийг тодорхойлох</t>
        </is>
      </c>
      <c r="I11" s="21" t="n">
        <v>12</v>
      </c>
      <c r="J11" s="21" t="n">
        <v>20</v>
      </c>
      <c r="K11" s="21" t="n">
        <v>1</v>
      </c>
      <c r="L11" s="24" t="inlineStr">
        <is>
          <t>«Багш сурагчдад ном өглөө» өгүүлбэрээс жинхэнэ нэрийг бүгдийг нь ол.</t>
        </is>
      </c>
      <c r="M11" s="21" t="inlineStr">
        <is>
          <t>Нээлттэй</t>
        </is>
      </c>
      <c r="N11" s="21" t="n">
        <v>2</v>
      </c>
      <c r="O11" s="24" t="inlineStr">
        <is>
          <t>Гурван жинхэнэ нэрийг олбол 2 оноо, хоёрыг олбол 1 оноо.</t>
        </is>
      </c>
      <c r="P11" s="21" t="inlineStr">
        <is>
          <t>Ноорог</t>
        </is>
      </c>
    </row>
    <row r="13" ht="30" customHeight="1">
      <c r="A13" s="15" t="inlineStr">
        <is>
          <t>Сэдвийн багана хоосон байж болно — тэр үед асуулт тухайн чадварын БҮХ өдөр харагдана. Энэ нь импорт сэдвийг заагаагүй үед л тохиолдох ёстой.</t>
        </is>
      </c>
    </row>
  </sheetData>
  <autoFilter ref="A5:P11"/>
  <mergeCells count="4">
    <mergeCell ref="A3:H3"/>
    <mergeCell ref="A2:H2"/>
    <mergeCell ref="A13:H13"/>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3"/>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2" customWidth="1" min="3" max="3"/>
    <col width="34" customWidth="1" min="4" max="4"/>
    <col width="12" customWidth="1" min="5" max="5"/>
    <col width="12" customWidth="1" min="6" max="6"/>
  </cols>
  <sheetData>
    <row r="1">
      <c r="A1" s="16" t="inlineStr">
        <is>
          <t>Сонголттой асуултын хариултууд</t>
        </is>
      </c>
    </row>
    <row r="2" ht="44" customHeight="1">
      <c r="A2" s="2" t="inlineStr">
        <is>
          <t>Сонголттой асуулт бүрийн хувилбарууд, аль нь зөв болох. Нээлттэй асуултад мөр байхгүй — тэдгээрийг багш «Үнэлэх заавар»-аар гараар үнэлнэ. БААЗАД ХООСОН.</t>
        </is>
      </c>
    </row>
    <row r="3">
      <c r="A3" s="23" t="inlineStr">
        <is>
          <t>ХООСОН — бүхэлдээ сургуулиас авах ёстой</t>
        </is>
      </c>
    </row>
    <row r="5" ht="32" customHeight="1">
      <c r="A5" s="18" t="inlineStr">
        <is>
          <t>Төлөв</t>
        </is>
      </c>
      <c r="B5" s="18" t="inlineStr">
        <is>
          <t>Асуултын код</t>
        </is>
      </c>
      <c r="C5" s="18" t="inlineStr">
        <is>
          <t>Хувилбар</t>
        </is>
      </c>
      <c r="D5" s="18" t="inlineStr">
        <is>
          <t>Хариултын текст</t>
        </is>
      </c>
      <c r="E5" s="18" t="inlineStr">
        <is>
          <t>Зөв эсэх</t>
        </is>
      </c>
      <c r="F5" s="18" t="inlineStr">
        <is>
          <t>Дараалал</t>
        </is>
      </c>
    </row>
    <row r="6">
      <c r="A6" s="6" t="inlineStr">
        <is>
          <t>ЖИШЭЭ</t>
        </is>
      </c>
      <c r="B6" s="21" t="inlineStr">
        <is>
          <t>Q-M6-0301</t>
        </is>
      </c>
      <c r="C6" s="21" t="inlineStr">
        <is>
          <t>А</t>
        </is>
      </c>
      <c r="D6" s="21" t="inlineStr">
        <is>
          <t>6.15</t>
        </is>
      </c>
      <c r="E6" s="21" t="inlineStr">
        <is>
          <t>ТИЙМ</t>
        </is>
      </c>
      <c r="F6" s="21" t="n">
        <v>1</v>
      </c>
    </row>
    <row r="7">
      <c r="A7" s="6" t="inlineStr">
        <is>
          <t>ЖИШЭЭ</t>
        </is>
      </c>
      <c r="B7" s="21" t="inlineStr">
        <is>
          <t>Q-M6-0301</t>
        </is>
      </c>
      <c r="C7" s="21" t="inlineStr">
        <is>
          <t>Б</t>
        </is>
      </c>
      <c r="D7" s="21" t="inlineStr">
        <is>
          <t>5.15</t>
        </is>
      </c>
      <c r="E7" s="21" t="inlineStr">
        <is>
          <t>үгүй</t>
        </is>
      </c>
      <c r="F7" s="21" t="n">
        <v>2</v>
      </c>
    </row>
    <row r="8">
      <c r="A8" s="6" t="inlineStr">
        <is>
          <t>ЖИШЭЭ</t>
        </is>
      </c>
      <c r="B8" s="21" t="inlineStr">
        <is>
          <t>Q-M6-0301</t>
        </is>
      </c>
      <c r="C8" s="21" t="inlineStr">
        <is>
          <t>В</t>
        </is>
      </c>
      <c r="D8" s="21" t="inlineStr">
        <is>
          <t>6.05</t>
        </is>
      </c>
      <c r="E8" s="21" t="inlineStr">
        <is>
          <t>үгүй</t>
        </is>
      </c>
      <c r="F8" s="21" t="n">
        <v>3</v>
      </c>
    </row>
    <row r="9">
      <c r="A9" s="6" t="inlineStr">
        <is>
          <t>ЖИШЭЭ</t>
        </is>
      </c>
      <c r="B9" s="21" t="inlineStr">
        <is>
          <t>Q-M6-0301</t>
        </is>
      </c>
      <c r="C9" s="21" t="inlineStr">
        <is>
          <t>Г</t>
        </is>
      </c>
      <c r="D9" s="21" t="inlineStr">
        <is>
          <t>3.72</t>
        </is>
      </c>
      <c r="E9" s="21" t="inlineStr">
        <is>
          <t>үгүй</t>
        </is>
      </c>
      <c r="F9" s="21" t="n">
        <v>4</v>
      </c>
    </row>
    <row r="10">
      <c r="A10" s="6" t="inlineStr">
        <is>
          <t>ЖИШЭЭ</t>
        </is>
      </c>
      <c r="B10" s="21" t="inlineStr">
        <is>
          <t>Q-M6-0302</t>
        </is>
      </c>
      <c r="C10" s="21" t="inlineStr">
        <is>
          <t>А</t>
        </is>
      </c>
      <c r="D10" s="21" t="inlineStr">
        <is>
          <t>2.73</t>
        </is>
      </c>
      <c r="E10" s="21" t="inlineStr">
        <is>
          <t>ТИЙМ</t>
        </is>
      </c>
      <c r="F10" s="21" t="n">
        <v>1</v>
      </c>
    </row>
    <row r="11">
      <c r="A11" s="6" t="inlineStr">
        <is>
          <t>ЖИШЭЭ</t>
        </is>
      </c>
      <c r="B11" s="21" t="inlineStr">
        <is>
          <t>Q-M6-0302</t>
        </is>
      </c>
      <c r="C11" s="21" t="inlineStr">
        <is>
          <t>Б</t>
        </is>
      </c>
      <c r="D11" s="21" t="inlineStr">
        <is>
          <t>3.73</t>
        </is>
      </c>
      <c r="E11" s="21" t="inlineStr">
        <is>
          <t>үгүй</t>
        </is>
      </c>
      <c r="F11" s="21" t="n">
        <v>2</v>
      </c>
    </row>
    <row r="12">
      <c r="A12" s="6" t="inlineStr">
        <is>
          <t>ЖИШЭЭ</t>
        </is>
      </c>
      <c r="B12" s="21" t="inlineStr">
        <is>
          <t>Q-M6-0302</t>
        </is>
      </c>
      <c r="C12" s="21" t="inlineStr">
        <is>
          <t>В</t>
        </is>
      </c>
      <c r="D12" s="21" t="inlineStr">
        <is>
          <t>2.83</t>
        </is>
      </c>
      <c r="E12" s="21" t="inlineStr">
        <is>
          <t>үгүй</t>
        </is>
      </c>
      <c r="F12" s="21" t="n">
        <v>3</v>
      </c>
    </row>
    <row r="13">
      <c r="A13" s="6" t="inlineStr">
        <is>
          <t>ЖИШЭЭ</t>
        </is>
      </c>
      <c r="B13" s="21" t="inlineStr">
        <is>
          <t>Q-M6-0302</t>
        </is>
      </c>
      <c r="C13" s="21" t="inlineStr">
        <is>
          <t>Г</t>
        </is>
      </c>
      <c r="D13" s="21" t="inlineStr">
        <is>
          <t>3.27</t>
        </is>
      </c>
      <c r="E13" s="21" t="inlineStr">
        <is>
          <t>үгүй</t>
        </is>
      </c>
      <c r="F13" s="21" t="n">
        <v>4</v>
      </c>
    </row>
    <row r="14">
      <c r="A14" s="6" t="inlineStr">
        <is>
          <t>ЖИШЭЭ</t>
        </is>
      </c>
      <c r="B14" s="21" t="inlineStr">
        <is>
          <t>Q-M6-0401</t>
        </is>
      </c>
      <c r="C14" s="21" t="inlineStr">
        <is>
          <t>А</t>
        </is>
      </c>
      <c r="D14" s="21" t="inlineStr">
        <is>
          <t>7.2</t>
        </is>
      </c>
      <c r="E14" s="21" t="inlineStr">
        <is>
          <t>ТИЙМ</t>
        </is>
      </c>
      <c r="F14" s="21" t="n">
        <v>1</v>
      </c>
    </row>
    <row r="15">
      <c r="A15" s="6" t="inlineStr">
        <is>
          <t>ЖИШЭЭ</t>
        </is>
      </c>
      <c r="B15" s="21" t="inlineStr">
        <is>
          <t>Q-M6-0401</t>
        </is>
      </c>
      <c r="C15" s="21" t="inlineStr">
        <is>
          <t>Б</t>
        </is>
      </c>
      <c r="D15" s="21" t="inlineStr">
        <is>
          <t>6.2</t>
        </is>
      </c>
      <c r="E15" s="21" t="inlineStr">
        <is>
          <t>үгүй</t>
        </is>
      </c>
      <c r="F15" s="21" t="n">
        <v>2</v>
      </c>
    </row>
    <row r="16">
      <c r="A16" s="6" t="inlineStr">
        <is>
          <t>ЖИШЭЭ</t>
        </is>
      </c>
      <c r="B16" s="21" t="inlineStr">
        <is>
          <t>Q-M6-0401</t>
        </is>
      </c>
      <c r="C16" s="21" t="inlineStr">
        <is>
          <t>В</t>
        </is>
      </c>
      <c r="D16" s="21" t="inlineStr">
        <is>
          <t>72</t>
        </is>
      </c>
      <c r="E16" s="21" t="inlineStr">
        <is>
          <t>үгүй</t>
        </is>
      </c>
      <c r="F16" s="21" t="n">
        <v>3</v>
      </c>
    </row>
    <row r="17">
      <c r="A17" s="6" t="inlineStr">
        <is>
          <t>ЖИШЭЭ</t>
        </is>
      </c>
      <c r="B17" s="21" t="inlineStr">
        <is>
          <t>Q-M6-0401</t>
        </is>
      </c>
      <c r="C17" s="21" t="inlineStr">
        <is>
          <t>Г</t>
        </is>
      </c>
      <c r="D17" s="21" t="inlineStr">
        <is>
          <t>0.72</t>
        </is>
      </c>
      <c r="E17" s="21" t="inlineStr">
        <is>
          <t>үгүй</t>
        </is>
      </c>
      <c r="F17" s="21" t="n">
        <v>4</v>
      </c>
    </row>
    <row r="18">
      <c r="A18" s="6" t="inlineStr">
        <is>
          <t>ЖИШЭЭ</t>
        </is>
      </c>
      <c r="B18" s="21" t="inlineStr">
        <is>
          <t>Q-M6-0101</t>
        </is>
      </c>
      <c r="C18" s="21" t="inlineStr">
        <is>
          <t>А</t>
        </is>
      </c>
      <c r="D18" s="21" t="inlineStr">
        <is>
          <t>623</t>
        </is>
      </c>
      <c r="E18" s="21" t="inlineStr">
        <is>
          <t>ТИЙМ</t>
        </is>
      </c>
      <c r="F18" s="21" t="n">
        <v>1</v>
      </c>
    </row>
    <row r="19">
      <c r="A19" s="6" t="inlineStr">
        <is>
          <t>ЖИШЭЭ</t>
        </is>
      </c>
      <c r="B19" s="21" t="inlineStr">
        <is>
          <t>Q-M6-0101</t>
        </is>
      </c>
      <c r="C19" s="21" t="inlineStr">
        <is>
          <t>Б</t>
        </is>
      </c>
      <c r="D19" s="21" t="inlineStr">
        <is>
          <t>523</t>
        </is>
      </c>
      <c r="E19" s="21" t="inlineStr">
        <is>
          <t>үгүй</t>
        </is>
      </c>
      <c r="F19" s="21" t="n">
        <v>2</v>
      </c>
    </row>
    <row r="20">
      <c r="A20" s="6" t="inlineStr">
        <is>
          <t>ЖИШЭЭ</t>
        </is>
      </c>
      <c r="B20" s="21" t="inlineStr">
        <is>
          <t>Q-M6-0101</t>
        </is>
      </c>
      <c r="C20" s="21" t="inlineStr">
        <is>
          <t>В</t>
        </is>
      </c>
      <c r="D20" s="21" t="inlineStr">
        <is>
          <t>613</t>
        </is>
      </c>
      <c r="E20" s="21" t="inlineStr">
        <is>
          <t>үгүй</t>
        </is>
      </c>
      <c r="F20" s="21" t="n">
        <v>3</v>
      </c>
    </row>
    <row r="21">
      <c r="A21" s="6" t="inlineStr">
        <is>
          <t>ЖИШЭЭ</t>
        </is>
      </c>
      <c r="B21" s="21" t="inlineStr">
        <is>
          <t>Q-M6-0101</t>
        </is>
      </c>
      <c r="C21" s="21" t="inlineStr">
        <is>
          <t>Г</t>
        </is>
      </c>
      <c r="D21" s="21" t="inlineStr">
        <is>
          <t>633</t>
        </is>
      </c>
      <c r="E21" s="21" t="inlineStr">
        <is>
          <t>үгүй</t>
        </is>
      </c>
      <c r="F21" s="21" t="n">
        <v>4</v>
      </c>
    </row>
    <row r="23" ht="30" customHeight="1">
      <c r="A23" s="15" t="inlineStr">
        <is>
          <t>Q-M6-0303 болон Q-MGL6-0101 нь нээлттэй асуулт тул энд байхгүй — жагсаалт бүрэн байх албагүй гэдгийг харуулах зорилготой.</t>
        </is>
      </c>
    </row>
  </sheetData>
  <autoFilter ref="A5:F21"/>
  <mergeCells count="4">
    <mergeCell ref="A3:F3"/>
    <mergeCell ref="A2:F2"/>
    <mergeCell ref="A1:F1"/>
    <mergeCell ref="A23:F2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6" customWidth="1" min="3" max="3"/>
    <col width="42" customWidth="1" min="4" max="4"/>
    <col width="16" customWidth="1" min="5" max="5"/>
    <col width="12" customWidth="1" min="6" max="6"/>
    <col width="10" customWidth="1" min="7" max="7"/>
    <col width="34" customWidth="1" min="8" max="8"/>
    <col width="54" customWidth="1" min="9" max="9"/>
    <col width="10" customWidth="1" min="10" max="10"/>
    <col width="14" customWidth="1" min="11" max="11"/>
    <col width="18" customWidth="1" min="12" max="12"/>
    <col width="18" customWidth="1" min="13" max="13"/>
  </cols>
  <sheetData>
    <row r="1">
      <c r="A1" s="16" t="inlineStr">
        <is>
          <t>Дасгал, даалгавар</t>
        </is>
      </c>
    </row>
    <row r="2" ht="44" customHeight="1">
      <c r="A2" s="2" t="inlineStr">
        <is>
          <t>Чадвар эзэмшүүлэхэд ажиллуулах дасгалууд. Түвшнээр (СУУРЬ / ҮНДСЭН / АХИСАН) эрэмбэлэгдэж, «дараагийн» болон «давтах» даалгавраар гинжлэгдэнэ — сурагч алдвал давтах руу, чадвал дараагийнх руу шилжинэ. БААЗАД ХООСОН.</t>
        </is>
      </c>
    </row>
    <row r="3">
      <c r="A3" s="23" t="inlineStr">
        <is>
          <t>ХООСОН — бүхэлдээ сургуулиас авах ёстой</t>
        </is>
      </c>
    </row>
    <row r="5" ht="32" customHeight="1">
      <c r="A5" s="18" t="inlineStr">
        <is>
          <t>Төлөв</t>
        </is>
      </c>
      <c r="B5" s="18" t="inlineStr">
        <is>
          <t>Даалгаврын код</t>
        </is>
      </c>
      <c r="C5" s="18" t="inlineStr">
        <is>
          <t>Чадварын код</t>
        </is>
      </c>
      <c r="D5" s="18" t="inlineStr">
        <is>
          <t>Чадвар</t>
        </is>
      </c>
      <c r="E5" s="18" t="inlineStr">
        <is>
          <t>Урьдач чадвар</t>
        </is>
      </c>
      <c r="F5" s="18" t="inlineStr">
        <is>
          <t>Түвшин</t>
        </is>
      </c>
      <c r="G5" s="18" t="inlineStr">
        <is>
          <t>Хүндрэл</t>
        </is>
      </c>
      <c r="H5" s="18" t="inlineStr">
        <is>
          <t>Төрөл</t>
        </is>
      </c>
      <c r="I5" s="18" t="inlineStr">
        <is>
          <t>Асуулт</t>
        </is>
      </c>
      <c r="J5" s="18" t="inlineStr">
        <is>
          <t>Оноо</t>
        </is>
      </c>
      <c r="K5" s="18" t="inlineStr">
        <is>
          <t>Хугацаа (мин)</t>
        </is>
      </c>
      <c r="L5" s="18" t="inlineStr">
        <is>
          <t>Дараагийн даалгавар</t>
        </is>
      </c>
      <c r="M5" s="18" t="inlineStr">
        <is>
          <t>Давтах даалгавар</t>
        </is>
      </c>
    </row>
    <row r="6">
      <c r="A6" s="6" t="inlineStr">
        <is>
          <t>ЖИШЭЭ</t>
        </is>
      </c>
      <c r="B6" s="21" t="inlineStr">
        <is>
          <t>T-M6-03-01</t>
        </is>
      </c>
      <c r="C6" s="21" t="inlineStr">
        <is>
          <t>MATH-6-03</t>
        </is>
      </c>
      <c r="D6" s="21" t="inlineStr">
        <is>
          <t>Аравтын бутархайг нэмэх, хасах</t>
        </is>
      </c>
      <c r="E6" s="21" t="inlineStr">
        <is>
          <t>MATH-6-01</t>
        </is>
      </c>
      <c r="F6" s="21" t="inlineStr">
        <is>
          <t>СУУРЬ</t>
        </is>
      </c>
      <c r="G6" s="21" t="n">
        <v>1</v>
      </c>
      <c r="H6" s="21" t="inlineStr">
        <is>
          <t>Багана хэлбэрээр нэмэх дасгал</t>
        </is>
      </c>
      <c r="I6" s="21" t="inlineStr">
        <is>
          <t>4.5 + 3.2 = ?</t>
        </is>
      </c>
      <c r="J6" s="21" t="inlineStr">
        <is>
          <t>1.5</t>
        </is>
      </c>
      <c r="K6" s="21" t="n">
        <v>5</v>
      </c>
      <c r="L6" s="21" t="inlineStr">
        <is>
          <t>T-M6-03-02</t>
        </is>
      </c>
      <c r="M6" s="21" t="n"/>
    </row>
    <row r="7">
      <c r="A7" s="6" t="inlineStr">
        <is>
          <t>ЖИШЭЭ</t>
        </is>
      </c>
      <c r="B7" s="21" t="inlineStr">
        <is>
          <t>T-M6-03-02</t>
        </is>
      </c>
      <c r="C7" s="21" t="inlineStr">
        <is>
          <t>MATH-6-03</t>
        </is>
      </c>
      <c r="D7" s="21" t="inlineStr">
        <is>
          <t>Аравтын бутархайг нэмэх, хасах</t>
        </is>
      </c>
      <c r="E7" s="21" t="n"/>
      <c r="F7" s="21" t="inlineStr">
        <is>
          <t>ҮНДСЭН</t>
        </is>
      </c>
      <c r="G7" s="21" t="n">
        <v>2</v>
      </c>
      <c r="H7" s="21" t="inlineStr">
        <is>
          <t>Өөр өөр оронтой бутархай нэмэх</t>
        </is>
      </c>
      <c r="I7" s="21" t="inlineStr">
        <is>
          <t>12.75 + 3.4 = ?</t>
        </is>
      </c>
      <c r="J7" s="21" t="inlineStr">
        <is>
          <t>2</t>
        </is>
      </c>
      <c r="K7" s="21" t="n">
        <v>8</v>
      </c>
      <c r="L7" s="21" t="inlineStr">
        <is>
          <t>T-M6-03-03</t>
        </is>
      </c>
      <c r="M7" s="21" t="inlineStr">
        <is>
          <t>T-M6-03-01</t>
        </is>
      </c>
    </row>
    <row r="8">
      <c r="A8" s="6" t="inlineStr">
        <is>
          <t>ЖИШЭЭ</t>
        </is>
      </c>
      <c r="B8" s="21" t="inlineStr">
        <is>
          <t>T-M6-03-03</t>
        </is>
      </c>
      <c r="C8" s="21" t="inlineStr">
        <is>
          <t>MATH-6-03</t>
        </is>
      </c>
      <c r="D8" s="21" t="inlineStr">
        <is>
          <t>Аравтын бутархайг нэмэх, хасах</t>
        </is>
      </c>
      <c r="E8" s="21" t="n"/>
      <c r="F8" s="21" t="inlineStr">
        <is>
          <t>АХИСАН</t>
        </is>
      </c>
      <c r="G8" s="21" t="n">
        <v>3</v>
      </c>
      <c r="H8" s="21" t="inlineStr">
        <is>
          <t>Хэрэглээний бодлого</t>
        </is>
      </c>
      <c r="I8" s="24" t="inlineStr">
        <is>
          <t>Гурван дэлгүүрт 2.35, 1.8, 4.05 кг жимс байв. Нийт хэд вэ?</t>
        </is>
      </c>
      <c r="J8" s="21" t="inlineStr">
        <is>
          <t>3</t>
        </is>
      </c>
      <c r="K8" s="21" t="n">
        <v>12</v>
      </c>
      <c r="L8" s="21" t="n"/>
      <c r="M8" s="21" t="inlineStr">
        <is>
          <t>T-M6-03-02</t>
        </is>
      </c>
    </row>
    <row r="9">
      <c r="A9" s="6" t="inlineStr">
        <is>
          <t>ЖИШЭЭ</t>
        </is>
      </c>
      <c r="B9" s="21" t="inlineStr">
        <is>
          <t>T-M6-01-01</t>
        </is>
      </c>
      <c r="C9" s="21" t="inlineStr">
        <is>
          <t>MATH-6-01</t>
        </is>
      </c>
      <c r="D9" s="24" t="inlineStr">
        <is>
          <t>Бүхэл тооны нэмэх, хасах, үржүүлэх, хуваах</t>
        </is>
      </c>
      <c r="E9" s="21" t="n"/>
      <c r="F9" s="21" t="inlineStr">
        <is>
          <t>СУУРЬ</t>
        </is>
      </c>
      <c r="G9" s="21" t="n">
        <v>1</v>
      </c>
      <c r="H9" s="21" t="inlineStr">
        <is>
          <t>Бүхэл тоон дээр дөрвөн үйлдэл</t>
        </is>
      </c>
      <c r="I9" s="21" t="inlineStr">
        <is>
          <t>345 + 278 = ?</t>
        </is>
      </c>
      <c r="J9" s="21" t="inlineStr">
        <is>
          <t>1</t>
        </is>
      </c>
      <c r="K9" s="21" t="n">
        <v>5</v>
      </c>
      <c r="L9" s="21" t="inlineStr">
        <is>
          <t>T-M6-01-02</t>
        </is>
      </c>
      <c r="M9" s="21" t="n"/>
    </row>
    <row r="11" ht="30" customHeight="1">
      <c r="A11" s="15" t="inlineStr">
        <is>
          <t>Энэ нь «Хувийн ажил» хуудастай хамт ажиллана: сурагчид оногдох нөхөх даалгаврыг эндээс сонгоно.</t>
        </is>
      </c>
    </row>
  </sheetData>
  <autoFilter ref="A5:M9"/>
  <mergeCells count="4">
    <mergeCell ref="A11:H11"/>
    <mergeCell ref="A3:H3"/>
    <mergeCell ref="A2:H2"/>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16" customWidth="1" min="3" max="3"/>
    <col width="42" customWidth="1" min="4" max="4"/>
    <col width="10" customWidth="1" min="5" max="5"/>
    <col width="20" customWidth="1" min="6" max="6"/>
    <col width="46" customWidth="1" min="7" max="7"/>
    <col width="16" customWidth="1" min="8" max="8"/>
    <col width="10" customWidth="1" min="9" max="9"/>
    <col width="26" customWidth="1" min="10" max="10"/>
    <col width="30" customWidth="1" min="11" max="11"/>
    <col width="30" customWidth="1" min="12" max="12"/>
    <col width="30" customWidth="1" min="13" max="13"/>
  </cols>
  <sheetData>
    <row r="1">
      <c r="A1" s="16" t="inlineStr">
        <is>
          <t>Эзэмшилт шалгах асуулт</t>
        </is>
      </c>
    </row>
    <row r="2" ht="44" customHeight="1">
      <c r="A2" s="2" t="inlineStr">
        <is>
          <t>«Энэ чадварыг эзэмшсэн үү» гэдгийг шийдэх асуултууд. Энгийн шалгалтаас ялгаатай нь ТЭНЦСЭН / ХАГАС / УНАСАН тохиолдол бүрд ЮУ ХИЙХИЙГ заасан байдаг — систем түүгээр нь дараагийн алхмыг сонгоно. БААЗАД ХООСОН.</t>
        </is>
      </c>
    </row>
    <row r="3">
      <c r="A3" s="23" t="inlineStr">
        <is>
          <t>ХООСОН — бүхэлдээ сургуулиас авах ёстой</t>
        </is>
      </c>
    </row>
    <row r="5" ht="32" customHeight="1">
      <c r="A5" s="18" t="inlineStr">
        <is>
          <t>Төлөв</t>
        </is>
      </c>
      <c r="B5" s="18" t="inlineStr">
        <is>
          <t>Кодын дугаар</t>
        </is>
      </c>
      <c r="C5" s="18" t="inlineStr">
        <is>
          <t>Чадварын код</t>
        </is>
      </c>
      <c r="D5" s="18" t="inlineStr">
        <is>
          <t>Чадвар</t>
        </is>
      </c>
      <c r="E5" s="18" t="inlineStr">
        <is>
          <t>Дараалал</t>
        </is>
      </c>
      <c r="F5" s="18" t="inlineStr">
        <is>
          <t>Төрөл</t>
        </is>
      </c>
      <c r="G5" s="18" t="inlineStr">
        <is>
          <t>Асуулт</t>
        </is>
      </c>
      <c r="H5" s="18" t="inlineStr">
        <is>
          <t>Зөв хариулт</t>
        </is>
      </c>
      <c r="I5" s="18" t="inlineStr">
        <is>
          <t>Оноо</t>
        </is>
      </c>
      <c r="J5" s="18" t="inlineStr">
        <is>
          <t>Тэнцэх дүрэм</t>
        </is>
      </c>
      <c r="K5" s="18" t="inlineStr">
        <is>
          <t>Тэнцвэл</t>
        </is>
      </c>
      <c r="L5" s="18" t="inlineStr">
        <is>
          <t>Хагас тэнцвэл</t>
        </is>
      </c>
      <c r="M5" s="18" t="inlineStr">
        <is>
          <t>Унавал</t>
        </is>
      </c>
    </row>
    <row r="6">
      <c r="A6" s="6" t="inlineStr">
        <is>
          <t>ЖИШЭЭ</t>
        </is>
      </c>
      <c r="B6" s="21" t="inlineStr">
        <is>
          <t>MC-M6-03-1</t>
        </is>
      </c>
      <c r="C6" s="21" t="inlineStr">
        <is>
          <t>MATH-6-03</t>
        </is>
      </c>
      <c r="D6" s="21" t="inlineStr">
        <is>
          <t>Аравтын бутархайг нэмэх, хасах</t>
        </is>
      </c>
      <c r="E6" s="21" t="n">
        <v>1</v>
      </c>
      <c r="F6" s="21" t="inlineStr">
        <is>
          <t>Богино хариулт</t>
        </is>
      </c>
      <c r="G6" s="21" t="inlineStr">
        <is>
          <t>12.75 + 3.4 = ?</t>
        </is>
      </c>
      <c r="H6" s="21" t="inlineStr">
        <is>
          <t>16.15</t>
        </is>
      </c>
      <c r="I6" s="21" t="n">
        <v>2</v>
      </c>
      <c r="J6" s="21" t="inlineStr">
        <is>
          <t>2/2 оноо авбал тэнцсэн</t>
        </is>
      </c>
      <c r="K6" s="21" t="inlineStr">
        <is>
          <t>MATH-6-04 руу шилжинэ</t>
        </is>
      </c>
      <c r="L6" s="21" t="inlineStr">
        <is>
          <t>Нэмэлт дасгал T-M6-03-02 өгнө</t>
        </is>
      </c>
      <c r="M6" s="21" t="inlineStr">
        <is>
          <t>MATH-6-01 руу буцаж нөхнө</t>
        </is>
      </c>
    </row>
    <row r="7">
      <c r="A7" s="6" t="inlineStr">
        <is>
          <t>ЖИШЭЭ</t>
        </is>
      </c>
      <c r="B7" s="21" t="inlineStr">
        <is>
          <t>MC-M6-03-2</t>
        </is>
      </c>
      <c r="C7" s="21" t="inlineStr">
        <is>
          <t>MATH-6-03</t>
        </is>
      </c>
      <c r="D7" s="21" t="inlineStr">
        <is>
          <t>Аравтын бутархайг нэмэх, хасах</t>
        </is>
      </c>
      <c r="E7" s="21" t="n">
        <v>2</v>
      </c>
      <c r="F7" s="21" t="inlineStr">
        <is>
          <t>Хэрэглээний бодлого</t>
        </is>
      </c>
      <c r="G7" s="21" t="inlineStr">
        <is>
          <t>2.5 кг ба 1.75 кг жимсний нийлбэрийг ол.</t>
        </is>
      </c>
      <c r="H7" s="21" t="inlineStr">
        <is>
          <t>4.25 кг</t>
        </is>
      </c>
      <c r="I7" s="21" t="n">
        <v>2</v>
      </c>
      <c r="J7" s="21" t="inlineStr">
        <is>
          <t>2/2 оноо авбал тэнцсэн</t>
        </is>
      </c>
      <c r="K7" s="21" t="inlineStr">
        <is>
          <t>Эзэмшсэн гэж тэмдэглэнэ</t>
        </is>
      </c>
      <c r="L7" s="21" t="inlineStr">
        <is>
          <t>Дахин нэг бодлого өгнө</t>
        </is>
      </c>
      <c r="M7" s="21" t="inlineStr">
        <is>
          <t>Багштай ярина</t>
        </is>
      </c>
    </row>
    <row r="8">
      <c r="A8" s="6" t="inlineStr">
        <is>
          <t>ЖИШЭЭ</t>
        </is>
      </c>
      <c r="B8" s="21" t="inlineStr">
        <is>
          <t>MC-M6-01-1</t>
        </is>
      </c>
      <c r="C8" s="21" t="inlineStr">
        <is>
          <t>MATH-6-01</t>
        </is>
      </c>
      <c r="D8" s="24" t="inlineStr">
        <is>
          <t>Бүхэл тооны нэмэх, хасах, үржүүлэх, хуваах</t>
        </is>
      </c>
      <c r="E8" s="21" t="n">
        <v>1</v>
      </c>
      <c r="F8" s="21" t="inlineStr">
        <is>
          <t>Богино хариулт</t>
        </is>
      </c>
      <c r="G8" s="21" t="inlineStr">
        <is>
          <t>345 + 278 = ?</t>
        </is>
      </c>
      <c r="H8" s="21" t="inlineStr">
        <is>
          <t>623</t>
        </is>
      </c>
      <c r="I8" s="21" t="n">
        <v>1</v>
      </c>
      <c r="J8" s="21" t="inlineStr">
        <is>
          <t>1/1 оноо авбал тэнцсэн</t>
        </is>
      </c>
      <c r="K8" s="21" t="inlineStr">
        <is>
          <t>MATH-6-03 руу шилжинэ</t>
        </is>
      </c>
      <c r="L8" s="21" t="inlineStr">
        <is>
          <t>—</t>
        </is>
      </c>
      <c r="M8" s="21" t="inlineStr">
        <is>
          <t>Бага ангийн агуулга давтана</t>
        </is>
      </c>
    </row>
    <row r="10" ht="30" customHeight="1">
      <c r="A10" s="15" t="inlineStr">
        <is>
          <t>Сорилыг нэг л удаа өгдөг гэж тохирсон тул нэг цэвэр оролдлого эзэмшсэнд тооцогдоно.</t>
        </is>
      </c>
    </row>
  </sheetData>
  <autoFilter ref="A5:M8"/>
  <mergeCells count="4">
    <mergeCell ref="A3:H3"/>
    <mergeCell ref="A2:H2"/>
    <mergeCell ref="A10:H10"/>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2"/>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14" customWidth="1" min="3" max="3"/>
    <col width="26" customWidth="1" min="4" max="4"/>
    <col width="14" customWidth="1" min="5" max="5"/>
    <col width="18" customWidth="1" min="6" max="6"/>
    <col width="16" customWidth="1" min="7" max="7"/>
    <col width="20" customWidth="1" min="8" max="8"/>
    <col width="40" customWidth="1" min="9" max="9"/>
    <col width="12" customWidth="1" min="10" max="10"/>
    <col width="12" customWidth="1" min="11" max="11"/>
    <col width="48" customWidth="1" min="12" max="12"/>
  </cols>
  <sheetData>
    <row r="1">
      <c r="A1" s="16" t="inlineStr">
        <is>
          <t>Шалгалтын хуудас   (★)</t>
        </is>
      </c>
    </row>
    <row r="2" ht="44" customHeight="1">
      <c r="A2" s="2" t="inlineStr">
        <is>
          <t>Нэг шалгалт = нэг мөр. Ангийн код хоосон бол тухайн ангийн бүх анги өгнө. Улирлыг тусад нь бичихгүй — огноо нь аль улиралд багтахаас тодорхойлогдоно, хоёр газар бичвэл зөрөх эрсдэлтэй. Тэнцэх оноог хувиар хадгална: асуулт нэмэгдэхэд нийт оноо өөрчлөгддөг тул тогтмол оноо утгаа алддаг. БААЗАД ХООСОН.</t>
        </is>
      </c>
    </row>
    <row r="3">
      <c r="A3" s="23" t="inlineStr">
        <is>
          <t>ХООСОН — бүхэлдээ сургуулиас авах ёстой</t>
        </is>
      </c>
    </row>
    <row r="5" ht="32" customHeight="1">
      <c r="A5" s="18" t="inlineStr">
        <is>
          <t>Төлөв</t>
        </is>
      </c>
      <c r="B5" s="18" t="inlineStr">
        <is>
          <t>Шалгалтын код</t>
        </is>
      </c>
      <c r="C5" s="18" t="inlineStr">
        <is>
          <t>Төрлийн код</t>
        </is>
      </c>
      <c r="D5" s="18" t="inlineStr">
        <is>
          <t>Төрөл</t>
        </is>
      </c>
      <c r="E5" s="18" t="inlineStr">
        <is>
          <t>Хичээлийн код</t>
        </is>
      </c>
      <c r="F5" s="18" t="inlineStr">
        <is>
          <t>Хичээл</t>
        </is>
      </c>
      <c r="G5" s="18" t="inlineStr">
        <is>
          <t>Ангийн код</t>
        </is>
      </c>
      <c r="H5" s="18" t="inlineStr">
        <is>
          <t>Анги</t>
        </is>
      </c>
      <c r="I5" s="18" t="inlineStr">
        <is>
          <t>Шалгалтын нэр</t>
        </is>
      </c>
      <c r="J5" s="18" t="inlineStr">
        <is>
          <t>Огноо</t>
        </is>
      </c>
      <c r="K5" s="18" t="inlineStr">
        <is>
          <t>Тэнцэх хувь</t>
        </is>
      </c>
      <c r="L5" s="18" t="inlineStr">
        <is>
          <t>Заавар</t>
        </is>
      </c>
    </row>
    <row r="6">
      <c r="A6" s="6" t="inlineStr">
        <is>
          <t>ЖИШЭЭ</t>
        </is>
      </c>
      <c r="B6" s="21" t="inlineStr">
        <is>
          <t>EX-6A-MATH-U1</t>
        </is>
      </c>
      <c r="C6" s="21" t="inlineStr">
        <is>
          <t>UNIT</t>
        </is>
      </c>
      <c r="D6" s="21" t="inlineStr">
        <is>
          <t>Нэгж хичээлийн шалгалт</t>
        </is>
      </c>
      <c r="E6" s="21" t="inlineStr">
        <is>
          <t>MATH</t>
        </is>
      </c>
      <c r="F6" s="21" t="inlineStr">
        <is>
          <t>Математик</t>
        </is>
      </c>
      <c r="G6" s="21" t="inlineStr">
        <is>
          <t>EJ-2627-6A</t>
        </is>
      </c>
      <c r="H6" s="21" t="inlineStr">
        <is>
          <t>6а</t>
        </is>
      </c>
      <c r="I6" s="21" t="inlineStr">
        <is>
          <t>Математик VI — I бүлгийн шалгалт</t>
        </is>
      </c>
      <c r="J6" s="25" t="n">
        <v>46300</v>
      </c>
      <c r="K6" s="28" t="n">
        <v>0.6</v>
      </c>
      <c r="L6" s="21" t="inlineStr">
        <is>
          <t>20 минут. Тооны машин хэрэглэхгүй.</t>
        </is>
      </c>
    </row>
    <row r="7">
      <c r="A7" s="6" t="inlineStr">
        <is>
          <t>ЖИШЭЭ</t>
        </is>
      </c>
      <c r="B7" s="21" t="inlineStr">
        <is>
          <t>EX-6A-MATH-T1</t>
        </is>
      </c>
      <c r="C7" s="21" t="inlineStr">
        <is>
          <t>TERM</t>
        </is>
      </c>
      <c r="D7" s="21" t="inlineStr">
        <is>
          <t>Улирлын шалгалт</t>
        </is>
      </c>
      <c r="E7" s="21" t="inlineStr">
        <is>
          <t>MATH</t>
        </is>
      </c>
      <c r="F7" s="21" t="inlineStr">
        <is>
          <t>Математик</t>
        </is>
      </c>
      <c r="G7" s="21" t="inlineStr">
        <is>
          <t>EJ-2627-6A</t>
        </is>
      </c>
      <c r="H7" s="21" t="inlineStr">
        <is>
          <t>6а</t>
        </is>
      </c>
      <c r="I7" s="21" t="inlineStr">
        <is>
          <t>Математик VI — I улирлын шалгалт</t>
        </is>
      </c>
      <c r="J7" s="25" t="n">
        <v>46323</v>
      </c>
      <c r="K7" s="28" t="n">
        <v>0.6</v>
      </c>
      <c r="L7" s="24" t="inlineStr">
        <is>
          <t>45 минут. I улирлын 26 сэдвийг бүхэлд нь хамарна.</t>
        </is>
      </c>
    </row>
    <row r="8">
      <c r="A8" s="6" t="inlineStr">
        <is>
          <t>ЖИШЭЭ</t>
        </is>
      </c>
      <c r="B8" s="21" t="inlineStr">
        <is>
          <t>EX-6A-MGL-U1</t>
        </is>
      </c>
      <c r="C8" s="21" t="inlineStr">
        <is>
          <t>UNIT</t>
        </is>
      </c>
      <c r="D8" s="21" t="inlineStr">
        <is>
          <t>Нэгж хичээлийн шалгалт</t>
        </is>
      </c>
      <c r="E8" s="21" t="inlineStr">
        <is>
          <t>MGL</t>
        </is>
      </c>
      <c r="F8" s="21" t="inlineStr">
        <is>
          <t>Монгол хэл</t>
        </is>
      </c>
      <c r="G8" s="21" t="inlineStr">
        <is>
          <t>EJ-2627-6A</t>
        </is>
      </c>
      <c r="H8" s="21" t="inlineStr">
        <is>
          <t>6а</t>
        </is>
      </c>
      <c r="I8" s="21" t="inlineStr">
        <is>
          <t>Монгол хэл VI — I бүлгийн шалгалт</t>
        </is>
      </c>
      <c r="J8" s="25" t="n">
        <v>46302</v>
      </c>
      <c r="K8" s="28" t="n">
        <v>0.5</v>
      </c>
      <c r="L8" s="21" t="n"/>
    </row>
    <row r="9">
      <c r="A9" s="6" t="inlineStr">
        <is>
          <t>ЖИШЭЭ</t>
        </is>
      </c>
      <c r="B9" s="21" t="inlineStr">
        <is>
          <t>QZ-6A-MATH-04</t>
        </is>
      </c>
      <c r="C9" s="21" t="inlineStr">
        <is>
          <t>QUIZ</t>
        </is>
      </c>
      <c r="D9" s="21" t="inlineStr">
        <is>
          <t>Хичээлийн дараах сорил</t>
        </is>
      </c>
      <c r="E9" s="21" t="inlineStr">
        <is>
          <t>MATH</t>
        </is>
      </c>
      <c r="F9" s="21" t="inlineStr">
        <is>
          <t>Математик</t>
        </is>
      </c>
      <c r="G9" s="21" t="inlineStr">
        <is>
          <t>EJ-2627-6A</t>
        </is>
      </c>
      <c r="H9" s="21" t="inlineStr">
        <is>
          <t>6а</t>
        </is>
      </c>
      <c r="I9" s="21" t="inlineStr">
        <is>
          <t>II.4 сэдвийн сорил</t>
        </is>
      </c>
      <c r="J9" s="25" t="n">
        <v>46286</v>
      </c>
      <c r="K9" s="28" t="n">
        <v>0.8</v>
      </c>
      <c r="L9" s="21" t="inlineStr">
        <is>
          <t>5 минут. Нэг л удаа өгнө.</t>
        </is>
      </c>
    </row>
    <row r="10">
      <c r="A10" s="6" t="inlineStr">
        <is>
          <t>ЖИШЭЭ</t>
        </is>
      </c>
      <c r="B10" s="21" t="inlineStr">
        <is>
          <t>EX-G7-MATH-T1</t>
        </is>
      </c>
      <c r="C10" s="21" t="inlineStr">
        <is>
          <t>TERM</t>
        </is>
      </c>
      <c r="D10" s="21" t="inlineStr">
        <is>
          <t>Улирлын шалгалт</t>
        </is>
      </c>
      <c r="E10" s="21" t="inlineStr">
        <is>
          <t>MATH</t>
        </is>
      </c>
      <c r="F10" s="21" t="inlineStr">
        <is>
          <t>Математик</t>
        </is>
      </c>
      <c r="G10" s="21" t="n"/>
      <c r="H10" s="21" t="inlineStr">
        <is>
          <t>(7-р анги бүхэлдээ)</t>
        </is>
      </c>
      <c r="I10" s="21" t="inlineStr">
        <is>
          <t>Математик VII — I улирлын шалгалт</t>
        </is>
      </c>
      <c r="J10" s="25" t="n">
        <v>46324</v>
      </c>
      <c r="K10" s="28" t="n">
        <v>0.6</v>
      </c>
      <c r="L10" s="24" t="inlineStr">
        <is>
          <t>Ангийн код хоосон = тухайн ангийн БҮХ анги өгнө</t>
        </is>
      </c>
    </row>
    <row r="12" ht="30" customHeight="1">
      <c r="A12" s="15" t="inlineStr">
        <is>
          <t>Төрлийн код: QUIZ (хичээлийн дараах сорил), UNIT (нэгж хичээлийн), TERM (улирлын), YEAR (жилийн), DIAGNOSTIC (оношилгоо). Нийт оноо энд байхгүй — «22 Шалгалтын асуултууд» хуудсан дээрх оноонуудын нийлбэрээр тооцогдоно.</t>
        </is>
      </c>
    </row>
  </sheetData>
  <autoFilter ref="A5:L10"/>
  <mergeCells count="4">
    <mergeCell ref="A12:H12"/>
    <mergeCell ref="A3:H3"/>
    <mergeCell ref="A2:H2"/>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7"/>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12" customWidth="1" min="3" max="3"/>
    <col width="16" customWidth="1" min="4" max="4"/>
    <col width="50" customWidth="1" min="5" max="5"/>
    <col width="16" customWidth="1" min="6" max="6"/>
    <col width="20" customWidth="1" min="7" max="7"/>
    <col width="16" customWidth="1" min="8" max="8"/>
  </cols>
  <sheetData>
    <row r="1">
      <c r="A1" s="16" t="inlineStr">
        <is>
          <t>Шалгалт ↔ асуулт   (★ ШИНЭ)</t>
        </is>
      </c>
    </row>
    <row r="2" ht="44" customHeight="1">
      <c r="A2" s="2" t="inlineStr">
        <is>
          <t>Шалгалт бүр ямар асуултаас, ямар дарааллаар бүрдэхийг заана. Нэг асуулт олон шалгалтад орж болно: Q-M6-0301 нь сорил, нэгж хичээлийн ба улирлын гурван шалгалтад бүгдэд нь байна. «Энэ шалгалт дээрх оноо» нь тухайн шалгалтад л хамаарна — нэг асуулт сорил дээр 1, улирлын шалгалт дээр 2 оноотой байж болно, асуултыг хуулж олшруулах шаардлагагүй. БААЗАД ХООСОН.</t>
        </is>
      </c>
    </row>
    <row r="3">
      <c r="A3" s="23" t="inlineStr">
        <is>
          <t>ХООСОН — бүхэлдээ сургуулиас авах ёстой</t>
        </is>
      </c>
    </row>
    <row r="5" ht="32" customHeight="1">
      <c r="A5" s="18" t="inlineStr">
        <is>
          <t>Төлөв</t>
        </is>
      </c>
      <c r="B5" s="18" t="inlineStr">
        <is>
          <t>Шалгалтын код</t>
        </is>
      </c>
      <c r="C5" s="18" t="inlineStr">
        <is>
          <t>Дараалал</t>
        </is>
      </c>
      <c r="D5" s="18" t="inlineStr">
        <is>
          <t>Асуултын код</t>
        </is>
      </c>
      <c r="E5" s="18" t="inlineStr">
        <is>
          <t>Асуулт</t>
        </is>
      </c>
      <c r="F5" s="18" t="inlineStr">
        <is>
          <t>Чадварын код</t>
        </is>
      </c>
      <c r="G5" s="18" t="inlineStr">
        <is>
          <t>Энэ шалгалт дээрх оноо</t>
        </is>
      </c>
      <c r="H5" s="18" t="inlineStr">
        <is>
          <t>Хүчинтэй оноо</t>
        </is>
      </c>
    </row>
    <row r="6">
      <c r="A6" s="6" t="inlineStr">
        <is>
          <t>ЖИШЭЭ</t>
        </is>
      </c>
      <c r="B6" s="21" t="inlineStr">
        <is>
          <t>EX-6A-MATH-U1</t>
        </is>
      </c>
      <c r="C6" s="21" t="n">
        <v>1</v>
      </c>
      <c r="D6" s="21" t="inlineStr">
        <is>
          <t>Q-M6-0101</t>
        </is>
      </c>
      <c r="E6" s="21" t="inlineStr">
        <is>
          <t>345 + 278 үйлдлийн үр дүнг ол.</t>
        </is>
      </c>
      <c r="F6" s="21" t="inlineStr">
        <is>
          <t>MATH-6-01</t>
        </is>
      </c>
      <c r="G6" s="21" t="n"/>
      <c r="H6" s="21" t="n">
        <v>1</v>
      </c>
    </row>
    <row r="7">
      <c r="A7" s="6" t="inlineStr">
        <is>
          <t>ЖИШЭЭ</t>
        </is>
      </c>
      <c r="B7" s="21" t="inlineStr">
        <is>
          <t>EX-6A-MATH-U1</t>
        </is>
      </c>
      <c r="C7" s="21" t="n">
        <v>2</v>
      </c>
      <c r="D7" s="21" t="inlineStr">
        <is>
          <t>Q-M6-0301</t>
        </is>
      </c>
      <c r="E7" s="21" t="inlineStr">
        <is>
          <t>3.45 + 2.7 үйлдлийн үр дүнг ол.</t>
        </is>
      </c>
      <c r="F7" s="21" t="inlineStr">
        <is>
          <t>MATH-6-03</t>
        </is>
      </c>
      <c r="G7" s="21" t="n"/>
      <c r="H7" s="21" t="n">
        <v>1</v>
      </c>
    </row>
    <row r="8">
      <c r="A8" s="6" t="inlineStr">
        <is>
          <t>ЖИШЭЭ</t>
        </is>
      </c>
      <c r="B8" s="21" t="inlineStr">
        <is>
          <t>EX-6A-MATH-U1</t>
        </is>
      </c>
      <c r="C8" s="21" t="n">
        <v>3</v>
      </c>
      <c r="D8" s="21" t="inlineStr">
        <is>
          <t>Q-M6-0302</t>
        </is>
      </c>
      <c r="E8" s="21" t="inlineStr">
        <is>
          <t>8.2 − 5.47 үйлдлийн үр дүнг ол.</t>
        </is>
      </c>
      <c r="F8" s="21" t="inlineStr">
        <is>
          <t>MATH-6-03</t>
        </is>
      </c>
      <c r="G8" s="21" t="n"/>
      <c r="H8" s="21" t="n">
        <v>1</v>
      </c>
    </row>
    <row r="9">
      <c r="A9" s="6" t="inlineStr">
        <is>
          <t>ЖИШЭЭ</t>
        </is>
      </c>
      <c r="B9" s="21" t="inlineStr">
        <is>
          <t>EX-6A-MATH-U1</t>
        </is>
      </c>
      <c r="C9" s="21" t="n">
        <v>4</v>
      </c>
      <c r="D9" s="21" t="inlineStr">
        <is>
          <t>Q-M6-0303</t>
        </is>
      </c>
      <c r="E9" s="21" t="inlineStr">
        <is>
          <t>2.5 кг ба 1.75 кг жимсний нийлбэрийг ол.</t>
        </is>
      </c>
      <c r="F9" s="21" t="inlineStr">
        <is>
          <t>MATH-6-03</t>
        </is>
      </c>
      <c r="G9" s="21" t="n"/>
      <c r="H9" s="21" t="n">
        <v>2</v>
      </c>
    </row>
    <row r="10">
      <c r="A10" s="6" t="inlineStr">
        <is>
          <t>ЖИШЭЭ</t>
        </is>
      </c>
      <c r="B10" s="21" t="inlineStr">
        <is>
          <t>EX-6A-MATH-T1</t>
        </is>
      </c>
      <c r="C10" s="21" t="n">
        <v>1</v>
      </c>
      <c r="D10" s="21" t="inlineStr">
        <is>
          <t>Q-M6-0301</t>
        </is>
      </c>
      <c r="E10" s="21" t="inlineStr">
        <is>
          <t>3.45 + 2.7 үйлдлийн үр дүнг ол.</t>
        </is>
      </c>
      <c r="F10" s="21" t="inlineStr">
        <is>
          <t>MATH-6-03</t>
        </is>
      </c>
      <c r="G10" s="21" t="n">
        <v>2</v>
      </c>
      <c r="H10" s="21" t="n">
        <v>2</v>
      </c>
    </row>
    <row r="11">
      <c r="A11" s="6" t="inlineStr">
        <is>
          <t>ЖИШЭЭ</t>
        </is>
      </c>
      <c r="B11" s="21" t="inlineStr">
        <is>
          <t>EX-6A-MATH-T1</t>
        </is>
      </c>
      <c r="C11" s="21" t="n">
        <v>2</v>
      </c>
      <c r="D11" s="21" t="inlineStr">
        <is>
          <t>Q-M6-0303</t>
        </is>
      </c>
      <c r="E11" s="21" t="inlineStr">
        <is>
          <t>2.5 кг ба 1.75 кг жимсний нийлбэрийг ол.</t>
        </is>
      </c>
      <c r="F11" s="21" t="inlineStr">
        <is>
          <t>MATH-6-03</t>
        </is>
      </c>
      <c r="G11" s="21" t="n">
        <v>4</v>
      </c>
      <c r="H11" s="21" t="n">
        <v>4</v>
      </c>
    </row>
    <row r="12">
      <c r="A12" s="6" t="inlineStr">
        <is>
          <t>ЖИШЭЭ</t>
        </is>
      </c>
      <c r="B12" s="21" t="inlineStr">
        <is>
          <t>EX-6A-MATH-T1</t>
        </is>
      </c>
      <c r="C12" s="21" t="n">
        <v>3</v>
      </c>
      <c r="D12" s="21" t="inlineStr">
        <is>
          <t>Q-M6-0401</t>
        </is>
      </c>
      <c r="E12" s="21" t="inlineStr">
        <is>
          <t>2.4 × 3 үйлдлийн үр дүнг ол.</t>
        </is>
      </c>
      <c r="F12" s="21" t="inlineStr">
        <is>
          <t>MATH-6-04</t>
        </is>
      </c>
      <c r="G12" s="21" t="n">
        <v>2</v>
      </c>
      <c r="H12" s="21" t="n">
        <v>2</v>
      </c>
    </row>
    <row r="13">
      <c r="A13" s="6" t="inlineStr">
        <is>
          <t>ЖИШЭЭ</t>
        </is>
      </c>
      <c r="B13" s="21" t="inlineStr">
        <is>
          <t>QZ-6A-MATH-04</t>
        </is>
      </c>
      <c r="C13" s="21" t="n">
        <v>1</v>
      </c>
      <c r="D13" s="21" t="inlineStr">
        <is>
          <t>Q-M6-0301</t>
        </is>
      </c>
      <c r="E13" s="21" t="inlineStr">
        <is>
          <t>3.45 + 2.7 үйлдлийн үр дүнг ол.</t>
        </is>
      </c>
      <c r="F13" s="21" t="inlineStr">
        <is>
          <t>MATH-6-03</t>
        </is>
      </c>
      <c r="G13" s="21" t="n"/>
      <c r="H13" s="21" t="n">
        <v>1</v>
      </c>
    </row>
    <row r="14">
      <c r="A14" s="6" t="inlineStr">
        <is>
          <t>ЖИШЭЭ</t>
        </is>
      </c>
      <c r="B14" s="21" t="inlineStr">
        <is>
          <t>QZ-6A-MATH-04</t>
        </is>
      </c>
      <c r="C14" s="21" t="n">
        <v>2</v>
      </c>
      <c r="D14" s="21" t="inlineStr">
        <is>
          <t>Q-M6-0302</t>
        </is>
      </c>
      <c r="E14" s="21" t="inlineStr">
        <is>
          <t>8.2 − 5.47 үйлдлийн үр дүнг ол.</t>
        </is>
      </c>
      <c r="F14" s="21" t="inlineStr">
        <is>
          <t>MATH-6-03</t>
        </is>
      </c>
      <c r="G14" s="21" t="n"/>
      <c r="H14" s="21" t="n">
        <v>1</v>
      </c>
    </row>
    <row r="15">
      <c r="A15" s="6" t="inlineStr">
        <is>
          <t>ЖИШЭЭ</t>
        </is>
      </c>
      <c r="B15" s="21" t="inlineStr">
        <is>
          <t>EX-6A-MGL-U1</t>
        </is>
      </c>
      <c r="C15" s="21" t="n">
        <v>1</v>
      </c>
      <c r="D15" s="21" t="inlineStr">
        <is>
          <t>Q-MGL6-0101</t>
        </is>
      </c>
      <c r="E15" s="21" t="inlineStr">
        <is>
          <t>Өгүүлбэрээс жинхэнэ нэрийг ол.</t>
        </is>
      </c>
      <c r="F15" s="21" t="inlineStr">
        <is>
          <t>MGL-6-01</t>
        </is>
      </c>
      <c r="G15" s="21" t="n"/>
      <c r="H15" s="21" t="n">
        <v>2</v>
      </c>
    </row>
    <row r="17" ht="30" customHeight="1">
      <c r="A17" s="15" t="inlineStr">
        <is>
          <t>«Энэ шалгалт дээрх оноо» хоосон бол асуултын өөрийнх нь оноо хэрэглэгдэнэ — «Хүчинтэй оноо» багана тэрхүү эцсийн дүнг харуулна. Нийт оноог эндээс нэмж тооцно.</t>
        </is>
      </c>
    </row>
  </sheetData>
  <autoFilter ref="A5:H15"/>
  <mergeCells count="4">
    <mergeCell ref="A3:H3"/>
    <mergeCell ref="A2:H2"/>
    <mergeCell ref="A17:H17"/>
    <mergeCell ref="A1:H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2"/>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8" customWidth="1" min="3" max="3"/>
    <col width="8" customWidth="1" min="4" max="4"/>
    <col width="18" customWidth="1" min="5" max="5"/>
    <col width="40" customWidth="1" min="6" max="6"/>
    <col width="12" customWidth="1" min="7" max="7"/>
    <col width="12" customWidth="1" min="8" max="8"/>
    <col width="12" customWidth="1" min="9" max="9"/>
    <col width="10" customWidth="1" min="10" max="10"/>
    <col width="14" customWidth="1" min="11" max="11"/>
    <col width="36" customWidth="1" min="12" max="12"/>
  </cols>
  <sheetData>
    <row r="1">
      <c r="A1" s="16" t="inlineStr">
        <is>
          <t>Нэг сурагчийн нэг шалгалтын нийт дүн</t>
        </is>
      </c>
    </row>
    <row r="2" ht="44" customHeight="1">
      <c r="A2" s="2" t="inlineStr">
        <is>
          <t>Сурагч шалгалт өгөх бүрд нэг мөр. Нийт оноо, хувь, тэнцсэн эсэх. Тэнцсэн эсэхийг «21 Шалгалт» хуудасны тэнцэх хувьтай харьцуулж шийднэ. БААЗАД ХООСОН.</t>
        </is>
      </c>
    </row>
    <row r="3">
      <c r="A3" s="23" t="inlineStr">
        <is>
          <t>ХООСОН — бүхэлдээ сургуулиас авах ёстой</t>
        </is>
      </c>
    </row>
    <row r="5" ht="32" customHeight="1">
      <c r="A5" s="18" t="inlineStr">
        <is>
          <t>Төлөв</t>
        </is>
      </c>
      <c r="B5" s="18" t="inlineStr">
        <is>
          <t>Сурагчийн код</t>
        </is>
      </c>
      <c r="C5" s="18" t="inlineStr">
        <is>
          <t>Овог нэр</t>
        </is>
      </c>
      <c r="D5" s="18" t="inlineStr">
        <is>
          <t>Анги</t>
        </is>
      </c>
      <c r="E5" s="18" t="inlineStr">
        <is>
          <t>Шалгалтын код</t>
        </is>
      </c>
      <c r="F5" s="18" t="inlineStr">
        <is>
          <t>Шалгалтын нэр</t>
        </is>
      </c>
      <c r="G5" s="18" t="inlineStr">
        <is>
          <t>Огноо</t>
        </is>
      </c>
      <c r="H5" s="18" t="inlineStr">
        <is>
          <t>Авсан оноо</t>
        </is>
      </c>
      <c r="I5" s="18" t="inlineStr">
        <is>
          <t>Нийт оноо</t>
        </is>
      </c>
      <c r="J5" s="18" t="inlineStr">
        <is>
          <t>Хувь</t>
        </is>
      </c>
      <c r="K5" s="18" t="inlineStr">
        <is>
          <t>Дүгнэлт</t>
        </is>
      </c>
      <c r="L5" s="18" t="inlineStr">
        <is>
          <t>Багшийн тэмдэглэл</t>
        </is>
      </c>
    </row>
    <row r="6">
      <c r="A6" s="6" t="inlineStr">
        <is>
          <t>ЖИШЭЭ</t>
        </is>
      </c>
      <c r="B6" s="21" t="inlineStr">
        <is>
          <t>EJ-2627-S0108</t>
        </is>
      </c>
      <c r="C6" s="21" t="inlineStr">
        <is>
          <t>Анхбаяр Дөлгөөнмөрөн</t>
        </is>
      </c>
      <c r="D6" s="21" t="inlineStr">
        <is>
          <t>6а</t>
        </is>
      </c>
      <c r="E6" s="21" t="inlineStr">
        <is>
          <t>EX-6A-MATH-U1</t>
        </is>
      </c>
      <c r="F6" s="21" t="inlineStr">
        <is>
          <t>Математик VI — I бүлгийн шалгалт</t>
        </is>
      </c>
      <c r="G6" s="25" t="n">
        <v>46300</v>
      </c>
      <c r="H6" s="21" t="n">
        <v>4</v>
      </c>
      <c r="I6" s="21" t="n">
        <v>5</v>
      </c>
      <c r="J6" s="29">
        <f>IF($I6=0,"",$H6/$I6)</f>
        <v/>
      </c>
      <c r="K6" s="21" t="inlineStr">
        <is>
          <t>Тэнцсэн</t>
        </is>
      </c>
      <c r="L6" s="21" t="inlineStr">
        <is>
          <t>Бүхэл тоон дээр сайн</t>
        </is>
      </c>
    </row>
    <row r="7">
      <c r="A7" s="6" t="inlineStr">
        <is>
          <t>ЖИШЭЭ</t>
        </is>
      </c>
      <c r="B7" s="21" t="inlineStr">
        <is>
          <t>EJ-2627-S0113</t>
        </is>
      </c>
      <c r="C7" s="21" t="inlineStr">
        <is>
          <t>Аюушбаатар Мөнхжин</t>
        </is>
      </c>
      <c r="D7" s="21" t="inlineStr">
        <is>
          <t>6а</t>
        </is>
      </c>
      <c r="E7" s="21" t="inlineStr">
        <is>
          <t>EX-6A-MATH-U1</t>
        </is>
      </c>
      <c r="F7" s="21" t="inlineStr">
        <is>
          <t>Математик VI — I бүлгийн шалгалт</t>
        </is>
      </c>
      <c r="G7" s="25" t="n">
        <v>46300</v>
      </c>
      <c r="H7" s="21" t="n">
        <v>3</v>
      </c>
      <c r="I7" s="21" t="n">
        <v>5</v>
      </c>
      <c r="J7" s="29">
        <f>IF($I7=0,"",$H7/$I7)</f>
        <v/>
      </c>
      <c r="K7" s="21" t="inlineStr">
        <is>
          <t>Тэнцсэн</t>
        </is>
      </c>
      <c r="L7" s="21" t="inlineStr">
        <is>
          <t>Хасах үйлдэл дээр алдав</t>
        </is>
      </c>
    </row>
    <row r="8">
      <c r="A8" s="6" t="inlineStr">
        <is>
          <t>ЖИШЭЭ</t>
        </is>
      </c>
      <c r="B8" s="21" t="inlineStr">
        <is>
          <t>EJ-2627-S0129</t>
        </is>
      </c>
      <c r="C8" s="21" t="inlineStr">
        <is>
          <t>Батбаяр Мишээл</t>
        </is>
      </c>
      <c r="D8" s="21" t="inlineStr">
        <is>
          <t>6а</t>
        </is>
      </c>
      <c r="E8" s="21" t="inlineStr">
        <is>
          <t>EX-6A-MATH-U1</t>
        </is>
      </c>
      <c r="F8" s="21" t="inlineStr">
        <is>
          <t>Математик VI — I бүлгийн шалгалт</t>
        </is>
      </c>
      <c r="G8" s="25" t="n">
        <v>46300</v>
      </c>
      <c r="H8" s="21" t="n">
        <v>2</v>
      </c>
      <c r="I8" s="21" t="n">
        <v>5</v>
      </c>
      <c r="J8" s="29">
        <f>IF($I8=0,"",$H8/$I8)</f>
        <v/>
      </c>
      <c r="K8" s="21" t="inlineStr">
        <is>
          <t>Тэнцээгүй</t>
        </is>
      </c>
      <c r="L8" s="21" t="inlineStr">
        <is>
          <t>Бутархайн үйлдэл нөхөх ёстой</t>
        </is>
      </c>
    </row>
    <row r="9">
      <c r="A9" s="6" t="inlineStr">
        <is>
          <t>ЖИШЭЭ</t>
        </is>
      </c>
      <c r="B9" s="21" t="inlineStr">
        <is>
          <t>EJ-2627-S0128</t>
        </is>
      </c>
      <c r="C9" s="21" t="inlineStr">
        <is>
          <t>Батболд Амармэнд</t>
        </is>
      </c>
      <c r="D9" s="21" t="inlineStr">
        <is>
          <t>6а</t>
        </is>
      </c>
      <c r="E9" s="21" t="inlineStr">
        <is>
          <t>EX-6A-MATH-U1</t>
        </is>
      </c>
      <c r="F9" s="21" t="inlineStr">
        <is>
          <t>Математик VI — I бүлгийн шалгалт</t>
        </is>
      </c>
      <c r="G9" s="25" t="n">
        <v>46300</v>
      </c>
      <c r="H9" s="21" t="n">
        <v>5</v>
      </c>
      <c r="I9" s="21" t="n">
        <v>5</v>
      </c>
      <c r="J9" s="29">
        <f>IF($I9=0,"",$H9/$I9)</f>
        <v/>
      </c>
      <c r="K9" s="21" t="inlineStr">
        <is>
          <t>Тэнцсэн</t>
        </is>
      </c>
      <c r="L9" s="21" t="inlineStr">
        <is>
          <t>Ахисан даалгавар өгч болно</t>
        </is>
      </c>
    </row>
    <row r="10">
      <c r="A10" s="6" t="inlineStr">
        <is>
          <t>ЖИШЭЭ</t>
        </is>
      </c>
      <c r="B10" s="21" t="inlineStr">
        <is>
          <t>EJ-2627-S0127</t>
        </is>
      </c>
      <c r="C10" s="21" t="inlineStr">
        <is>
          <t>Батсүх Хангал</t>
        </is>
      </c>
      <c r="D10" s="21" t="inlineStr">
        <is>
          <t>6а</t>
        </is>
      </c>
      <c r="E10" s="21" t="inlineStr">
        <is>
          <t>EX-6A-MATH-U1</t>
        </is>
      </c>
      <c r="F10" s="21" t="inlineStr">
        <is>
          <t>Математик VI — I бүлгийн шалгалт</t>
        </is>
      </c>
      <c r="G10" s="25" t="n">
        <v>46300</v>
      </c>
      <c r="H10" s="21" t="n">
        <v>3</v>
      </c>
      <c r="I10" s="21" t="n">
        <v>5</v>
      </c>
      <c r="J10" s="29">
        <f>IF($I10=0,"",$H10/$I10)</f>
        <v/>
      </c>
      <c r="K10" s="21" t="inlineStr">
        <is>
          <t>Тэнцсэн</t>
        </is>
      </c>
      <c r="L10" s="21" t="n"/>
    </row>
    <row r="12" ht="30" customHeight="1">
      <c r="A12" s="15" t="inlineStr">
        <is>
          <t>Нийт оноо 5 нь «22 Шалгалтын асуултууд» дээрх EX-6A-MATH-U1-ийн дөрвөн асуултын нийлбэр (1+1+1+2). Тэнцэх хувь 60% тул 3 оноо шаардлагатай.</t>
        </is>
      </c>
    </row>
  </sheetData>
  <autoFilter ref="A5:L10"/>
  <mergeCells count="4">
    <mergeCell ref="A12:H12"/>
    <mergeCell ref="A3:H3"/>
    <mergeCell ref="A2:H2"/>
    <mergeCell ref="A1:H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4"/>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6" customWidth="1" min="3" max="3"/>
    <col width="20" customWidth="1" min="4" max="4"/>
    <col width="16" customWidth="1" min="5" max="5"/>
    <col width="40" customWidth="1" min="6" max="6"/>
    <col width="30" customWidth="1" min="7" max="7"/>
    <col width="12" customWidth="1" min="8" max="8"/>
    <col width="12" customWidth="1" min="9" max="9"/>
    <col width="10" customWidth="1" min="10" max="10"/>
    <col width="12" customWidth="1" min="11" max="11"/>
    <col width="18" customWidth="1" min="12" max="12"/>
  </cols>
  <sheetData>
    <row r="1">
      <c r="A1" s="16" t="inlineStr">
        <is>
          <t>Асуулт тус бүрийн хариулт</t>
        </is>
      </c>
    </row>
    <row r="2" ht="44" customHeight="1">
      <c r="A2" s="2" t="inlineStr">
        <is>
          <t>Сурагч асуулт бүрд юу хариулсан, хэдэн оноо авсан. Энэ хуудас л «чадвар эзэмшсэн эсэх»-ийг тооцоолох боломж олгоно: хариулт → асуулт → чадвар. Зөвхөн нийт оноо мэдэж байвал аль чадвар дутуу байгааг хэлж чадахгүй. БААЗАД ХООСОН.</t>
        </is>
      </c>
    </row>
    <row r="3">
      <c r="A3" s="23" t="inlineStr">
        <is>
          <t>ХООСОН — бүхэлдээ сургуулиас авах ёстой</t>
        </is>
      </c>
    </row>
    <row r="5" ht="32" customHeight="1">
      <c r="A5" s="18" t="inlineStr">
        <is>
          <t>Төлөв</t>
        </is>
      </c>
      <c r="B5" s="18" t="inlineStr">
        <is>
          <t>Сурагчийн код</t>
        </is>
      </c>
      <c r="C5" s="18" t="inlineStr">
        <is>
          <t>Овог нэр</t>
        </is>
      </c>
      <c r="D5" s="18" t="inlineStr">
        <is>
          <t>Шалгалтын код</t>
        </is>
      </c>
      <c r="E5" s="18" t="inlineStr">
        <is>
          <t>Асуултын код</t>
        </is>
      </c>
      <c r="F5" s="18" t="inlineStr">
        <is>
          <t>Асуулт</t>
        </is>
      </c>
      <c r="G5" s="18" t="inlineStr">
        <is>
          <t>Сурагчийн хариулт</t>
        </is>
      </c>
      <c r="H5" s="18" t="inlineStr">
        <is>
          <t>Авсан оноо</t>
        </is>
      </c>
      <c r="I5" s="18" t="inlineStr">
        <is>
          <t>Нийт оноо</t>
        </is>
      </c>
      <c r="J5" s="18" t="inlineStr">
        <is>
          <t>Хувь</t>
        </is>
      </c>
      <c r="K5" s="18" t="inlineStr">
        <is>
          <t>Зөв эсэх</t>
        </is>
      </c>
      <c r="L5" s="18" t="inlineStr">
        <is>
          <t>Үнэлсэн багш</t>
        </is>
      </c>
    </row>
    <row r="6">
      <c r="A6" s="6" t="inlineStr">
        <is>
          <t>ЖИШЭЭ</t>
        </is>
      </c>
      <c r="B6" s="21" t="inlineStr">
        <is>
          <t>EJ-2627-S0129</t>
        </is>
      </c>
      <c r="C6" s="21" t="inlineStr">
        <is>
          <t>Батбаяр Мишээл</t>
        </is>
      </c>
      <c r="D6" s="21" t="inlineStr">
        <is>
          <t>EX-6A-MATH-U1</t>
        </is>
      </c>
      <c r="E6" s="21" t="inlineStr">
        <is>
          <t>Q-M6-0301</t>
        </is>
      </c>
      <c r="F6" s="21" t="inlineStr">
        <is>
          <t>3.45 + 2.7 = ?</t>
        </is>
      </c>
      <c r="G6" s="21" t="inlineStr">
        <is>
          <t>5.15</t>
        </is>
      </c>
      <c r="H6" s="21" t="n">
        <v>0</v>
      </c>
      <c r="I6" s="21" t="n">
        <v>1</v>
      </c>
      <c r="J6" s="29">
        <f>IF($I6=0,"",$H6/$I6)</f>
        <v/>
      </c>
      <c r="K6" s="21" t="inlineStr">
        <is>
          <t>үгүй</t>
        </is>
      </c>
      <c r="L6" s="21" t="inlineStr">
        <is>
          <t>Б.Буянзаяа</t>
        </is>
      </c>
    </row>
    <row r="7">
      <c r="A7" s="6" t="inlineStr">
        <is>
          <t>ЖИШЭЭ</t>
        </is>
      </c>
      <c r="B7" s="21" t="inlineStr">
        <is>
          <t>EJ-2627-S0129</t>
        </is>
      </c>
      <c r="C7" s="21" t="inlineStr">
        <is>
          <t>Батбаяр Мишээл</t>
        </is>
      </c>
      <c r="D7" s="21" t="inlineStr">
        <is>
          <t>EX-6A-MATH-U1</t>
        </is>
      </c>
      <c r="E7" s="21" t="inlineStr">
        <is>
          <t>Q-M6-0302</t>
        </is>
      </c>
      <c r="F7" s="21" t="inlineStr">
        <is>
          <t>8.2 − 5.47 = ?</t>
        </is>
      </c>
      <c r="G7" s="21" t="inlineStr">
        <is>
          <t>2.83</t>
        </is>
      </c>
      <c r="H7" s="21" t="n">
        <v>0</v>
      </c>
      <c r="I7" s="21" t="n">
        <v>1</v>
      </c>
      <c r="J7" s="29">
        <f>IF($I7=0,"",$H7/$I7)</f>
        <v/>
      </c>
      <c r="K7" s="21" t="inlineStr">
        <is>
          <t>үгүй</t>
        </is>
      </c>
      <c r="L7" s="21" t="inlineStr">
        <is>
          <t>Б.Буянзаяа</t>
        </is>
      </c>
    </row>
    <row r="8">
      <c r="A8" s="6" t="inlineStr">
        <is>
          <t>ЖИШЭЭ</t>
        </is>
      </c>
      <c r="B8" s="21" t="inlineStr">
        <is>
          <t>EJ-2627-S0129</t>
        </is>
      </c>
      <c r="C8" s="21" t="inlineStr">
        <is>
          <t>Батбаяр Мишээл</t>
        </is>
      </c>
      <c r="D8" s="21" t="inlineStr">
        <is>
          <t>EX-6A-MATH-U1</t>
        </is>
      </c>
      <c r="E8" s="21" t="inlineStr">
        <is>
          <t>Q-M6-0303</t>
        </is>
      </c>
      <c r="F8" s="21" t="inlineStr">
        <is>
          <t>2.5 кг ба 1.75 кг жимс</t>
        </is>
      </c>
      <c r="G8" s="21" t="inlineStr">
        <is>
          <t>2.5 + 1.75 = 4.25 кг</t>
        </is>
      </c>
      <c r="H8" s="21" t="n">
        <v>2</v>
      </c>
      <c r="I8" s="21" t="n">
        <v>2</v>
      </c>
      <c r="J8" s="29">
        <f>IF($I8=0,"",$H8/$I8)</f>
        <v/>
      </c>
      <c r="K8" s="21" t="inlineStr">
        <is>
          <t>ТИЙМ</t>
        </is>
      </c>
      <c r="L8" s="21" t="inlineStr">
        <is>
          <t>Б.Буянзаяа</t>
        </is>
      </c>
    </row>
    <row r="9">
      <c r="A9" s="6" t="inlineStr">
        <is>
          <t>ЖИШЭЭ</t>
        </is>
      </c>
      <c r="B9" s="21" t="inlineStr">
        <is>
          <t>EJ-2627-S0108</t>
        </is>
      </c>
      <c r="C9" s="21" t="inlineStr">
        <is>
          <t>Анхбаяр Дөлгөөнмөрөн</t>
        </is>
      </c>
      <c r="D9" s="21" t="inlineStr">
        <is>
          <t>EX-6A-MATH-U1</t>
        </is>
      </c>
      <c r="E9" s="21" t="inlineStr">
        <is>
          <t>Q-M6-0301</t>
        </is>
      </c>
      <c r="F9" s="21" t="inlineStr">
        <is>
          <t>3.45 + 2.7 = ?</t>
        </is>
      </c>
      <c r="G9" s="21" t="inlineStr">
        <is>
          <t>6.15</t>
        </is>
      </c>
      <c r="H9" s="21" t="n">
        <v>1</v>
      </c>
      <c r="I9" s="21" t="n">
        <v>1</v>
      </c>
      <c r="J9" s="29">
        <f>IF($I9=0,"",$H9/$I9)</f>
        <v/>
      </c>
      <c r="K9" s="21" t="inlineStr">
        <is>
          <t>ТИЙМ</t>
        </is>
      </c>
      <c r="L9" s="21" t="inlineStr">
        <is>
          <t>Б.Буянзаяа</t>
        </is>
      </c>
    </row>
    <row r="10">
      <c r="A10" s="6" t="inlineStr">
        <is>
          <t>ЖИШЭЭ</t>
        </is>
      </c>
      <c r="B10" s="21" t="inlineStr">
        <is>
          <t>EJ-2627-S0108</t>
        </is>
      </c>
      <c r="C10" s="21" t="inlineStr">
        <is>
          <t>Анхбаяр Дөлгөөнмөрөн</t>
        </is>
      </c>
      <c r="D10" s="21" t="inlineStr">
        <is>
          <t>EX-6A-MATH-U1</t>
        </is>
      </c>
      <c r="E10" s="21" t="inlineStr">
        <is>
          <t>Q-M6-0302</t>
        </is>
      </c>
      <c r="F10" s="21" t="inlineStr">
        <is>
          <t>8.2 − 5.47 = ?</t>
        </is>
      </c>
      <c r="G10" s="21" t="inlineStr">
        <is>
          <t>2.73</t>
        </is>
      </c>
      <c r="H10" s="21" t="n">
        <v>1</v>
      </c>
      <c r="I10" s="21" t="n">
        <v>1</v>
      </c>
      <c r="J10" s="29">
        <f>IF($I10=0,"",$H10/$I10)</f>
        <v/>
      </c>
      <c r="K10" s="21" t="inlineStr">
        <is>
          <t>ТИЙМ</t>
        </is>
      </c>
      <c r="L10" s="21" t="inlineStr">
        <is>
          <t>Б.Буянзаяа</t>
        </is>
      </c>
    </row>
    <row r="11">
      <c r="A11" s="6" t="inlineStr">
        <is>
          <t>ЖИШЭЭ</t>
        </is>
      </c>
      <c r="B11" s="21" t="inlineStr">
        <is>
          <t>EJ-2627-S0113</t>
        </is>
      </c>
      <c r="C11" s="21" t="inlineStr">
        <is>
          <t>Аюушбаатар Мөнхжин</t>
        </is>
      </c>
      <c r="D11" s="21" t="inlineStr">
        <is>
          <t>EX-6A-MATH-U1</t>
        </is>
      </c>
      <c r="E11" s="21" t="inlineStr">
        <is>
          <t>Q-M6-0301</t>
        </is>
      </c>
      <c r="F11" s="21" t="inlineStr">
        <is>
          <t>3.45 + 2.7 = ?</t>
        </is>
      </c>
      <c r="G11" s="21" t="inlineStr">
        <is>
          <t>6.15</t>
        </is>
      </c>
      <c r="H11" s="21" t="n">
        <v>1</v>
      </c>
      <c r="I11" s="21" t="n">
        <v>1</v>
      </c>
      <c r="J11" s="29">
        <f>IF($I11=0,"",$H11/$I11)</f>
        <v/>
      </c>
      <c r="K11" s="21" t="inlineStr">
        <is>
          <t>ТИЙМ</t>
        </is>
      </c>
      <c r="L11" s="21" t="inlineStr">
        <is>
          <t>Б.Буянзаяа</t>
        </is>
      </c>
    </row>
    <row r="12">
      <c r="A12" s="6" t="inlineStr">
        <is>
          <t>ЖИШЭЭ</t>
        </is>
      </c>
      <c r="B12" s="21" t="inlineStr">
        <is>
          <t>EJ-2627-S0113</t>
        </is>
      </c>
      <c r="C12" s="21" t="inlineStr">
        <is>
          <t>Аюушбаатар Мөнхжин</t>
        </is>
      </c>
      <c r="D12" s="21" t="inlineStr">
        <is>
          <t>EX-6A-MATH-U1</t>
        </is>
      </c>
      <c r="E12" s="21" t="inlineStr">
        <is>
          <t>Q-M6-0302</t>
        </is>
      </c>
      <c r="F12" s="21" t="inlineStr">
        <is>
          <t>8.2 − 5.47 = ?</t>
        </is>
      </c>
      <c r="G12" s="21" t="inlineStr">
        <is>
          <t>3.73</t>
        </is>
      </c>
      <c r="H12" s="21" t="n">
        <v>0</v>
      </c>
      <c r="I12" s="21" t="n">
        <v>1</v>
      </c>
      <c r="J12" s="29">
        <f>IF($I12=0,"",$H12/$I12)</f>
        <v/>
      </c>
      <c r="K12" s="21" t="inlineStr">
        <is>
          <t>үгүй</t>
        </is>
      </c>
      <c r="L12" s="21" t="inlineStr">
        <is>
          <t>Б.Буянзаяа</t>
        </is>
      </c>
    </row>
    <row r="14" ht="30" customHeight="1">
      <c r="A14" s="15" t="inlineStr">
        <is>
          <t>Батбаяр Мишээл тооцооллын хоёр асуултад алдаж, бодлогын алхмаа зөв бичсэн — тэр нь «арга нь ойлгосон, тооцоолол сул» гэсэн өөр дүгнэлт. Нийт оноо үүнийг хэлж чадахгүй.</t>
        </is>
      </c>
    </row>
  </sheetData>
  <autoFilter ref="A5:L12"/>
  <mergeCells count="4">
    <mergeCell ref="A3:H3"/>
    <mergeCell ref="A2:H2"/>
    <mergeCell ref="A14:H14"/>
    <mergeCell ref="A1:H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3"/>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6" customWidth="1" min="3" max="3"/>
    <col width="8" customWidth="1" min="4" max="4"/>
    <col width="16" customWidth="1" min="5" max="5"/>
    <col width="44" customWidth="1" min="6" max="6"/>
    <col width="18" customWidth="1" min="7" max="7"/>
    <col width="12" customWidth="1" min="8" max="8"/>
    <col width="12" customWidth="1" min="9" max="9"/>
    <col width="14" customWidth="1" min="10" max="10"/>
    <col width="14" customWidth="1" min="11" max="11"/>
  </cols>
  <sheetData>
    <row r="1">
      <c r="A1" s="16" t="inlineStr">
        <is>
          <t>Сурагчийн чадварын түвшин   (★ ЭЦСИЙН ҮР ДҮН)</t>
        </is>
      </c>
    </row>
    <row r="2" ht="44" customHeight="1">
      <c r="A2" s="2" t="inlineStr">
        <is>
          <t>Сурагч бүр чадвар бүрийг ямар түвшинд эзэмшснийг харуулна. Энэ нь гараар бичигдэхгүй — «23 Асуултын хариулт» дээрээс автоматаар тооцогдоно. «Хувийн бэлтгэл»-д юу өгөхийг энэ хүснэгт шийднэ. БААЗАД ХООСОН.</t>
        </is>
      </c>
    </row>
    <row r="3">
      <c r="A3" s="23" t="inlineStr">
        <is>
          <t>ХООСОН — бүхэлдээ сургуулиас авах ёстой</t>
        </is>
      </c>
    </row>
    <row r="5" ht="32" customHeight="1">
      <c r="A5" s="18" t="inlineStr">
        <is>
          <t>Төлөв</t>
        </is>
      </c>
      <c r="B5" s="18" t="inlineStr">
        <is>
          <t>Сурагчийн код</t>
        </is>
      </c>
      <c r="C5" s="18" t="inlineStr">
        <is>
          <t>Овог нэр</t>
        </is>
      </c>
      <c r="D5" s="18" t="inlineStr">
        <is>
          <t>Анги</t>
        </is>
      </c>
      <c r="E5" s="18" t="inlineStr">
        <is>
          <t>Чадварын код</t>
        </is>
      </c>
      <c r="F5" s="18" t="inlineStr">
        <is>
          <t>Чадвар</t>
        </is>
      </c>
      <c r="G5" s="18" t="inlineStr">
        <is>
          <t>Түвшин</t>
        </is>
      </c>
      <c r="H5" s="18" t="inlineStr">
        <is>
          <t>Оноо (%)</t>
        </is>
      </c>
      <c r="I5" s="18" t="inlineStr">
        <is>
          <t>Оролдлого</t>
        </is>
      </c>
      <c r="J5" s="18" t="inlineStr">
        <is>
          <t>Сүүлд үнэлсэн</t>
        </is>
      </c>
      <c r="K5" s="18" t="inlineStr">
        <is>
          <t>Эх сурвалж</t>
        </is>
      </c>
    </row>
    <row r="6">
      <c r="A6" s="6" t="inlineStr">
        <is>
          <t>ЖИШЭЭ</t>
        </is>
      </c>
      <c r="B6" s="21" t="inlineStr">
        <is>
          <t>EJ-2627-S0108</t>
        </is>
      </c>
      <c r="C6" s="21" t="inlineStr">
        <is>
          <t>Анхбаяр Дөлгөөнмөрөн</t>
        </is>
      </c>
      <c r="D6" s="21" t="inlineStr">
        <is>
          <t>6а</t>
        </is>
      </c>
      <c r="E6" s="21" t="inlineStr">
        <is>
          <t>MATH-6-03</t>
        </is>
      </c>
      <c r="F6" s="21" t="inlineStr">
        <is>
          <t>Аравтын бутархайг нэмэх, хасах</t>
        </is>
      </c>
      <c r="G6" s="21" t="inlineStr">
        <is>
          <t>ЭЗЭМШСЭН</t>
        </is>
      </c>
      <c r="H6" s="28" t="n">
        <v>1</v>
      </c>
      <c r="I6" s="21" t="n">
        <v>1</v>
      </c>
      <c r="J6" s="25" t="n">
        <v>46300</v>
      </c>
      <c r="K6" s="21" t="inlineStr">
        <is>
          <t>Автомат</t>
        </is>
      </c>
    </row>
    <row r="7">
      <c r="A7" s="6" t="inlineStr">
        <is>
          <t>ЖИШЭЭ</t>
        </is>
      </c>
      <c r="B7" s="21" t="inlineStr">
        <is>
          <t>EJ-2627-S0113</t>
        </is>
      </c>
      <c r="C7" s="21" t="inlineStr">
        <is>
          <t>Аюушбаатар Мөнхжин</t>
        </is>
      </c>
      <c r="D7" s="21" t="inlineStr">
        <is>
          <t>6а</t>
        </is>
      </c>
      <c r="E7" s="21" t="inlineStr">
        <is>
          <t>MATH-6-03</t>
        </is>
      </c>
      <c r="F7" s="21" t="inlineStr">
        <is>
          <t>Аравтын бутархайг нэмэх, хасах</t>
        </is>
      </c>
      <c r="G7" s="21" t="inlineStr">
        <is>
          <t>АХИЦТАЙ</t>
        </is>
      </c>
      <c r="H7" s="28" t="n">
        <v>0.5</v>
      </c>
      <c r="I7" s="21" t="n">
        <v>1</v>
      </c>
      <c r="J7" s="25" t="n">
        <v>46300</v>
      </c>
      <c r="K7" s="21" t="inlineStr">
        <is>
          <t>Автомат</t>
        </is>
      </c>
    </row>
    <row r="8">
      <c r="A8" s="6" t="inlineStr">
        <is>
          <t>ЖИШЭЭ</t>
        </is>
      </c>
      <c r="B8" s="21" t="inlineStr">
        <is>
          <t>EJ-2627-S0129</t>
        </is>
      </c>
      <c r="C8" s="21" t="inlineStr">
        <is>
          <t>Батбаяр Мишээл</t>
        </is>
      </c>
      <c r="D8" s="21" t="inlineStr">
        <is>
          <t>6а</t>
        </is>
      </c>
      <c r="E8" s="21" t="inlineStr">
        <is>
          <t>MATH-6-03</t>
        </is>
      </c>
      <c r="F8" s="21" t="inlineStr">
        <is>
          <t>Аравтын бутархайг нэмэх, хасах</t>
        </is>
      </c>
      <c r="G8" s="21" t="inlineStr">
        <is>
          <t>ДУТУУ</t>
        </is>
      </c>
      <c r="H8" s="28" t="n">
        <v>0.5</v>
      </c>
      <c r="I8" s="21" t="n">
        <v>1</v>
      </c>
      <c r="J8" s="25" t="n">
        <v>46300</v>
      </c>
      <c r="K8" s="21" t="inlineStr">
        <is>
          <t>Автомат</t>
        </is>
      </c>
    </row>
    <row r="9">
      <c r="A9" s="6" t="inlineStr">
        <is>
          <t>ЖИШЭЭ</t>
        </is>
      </c>
      <c r="B9" s="21" t="inlineStr">
        <is>
          <t>EJ-2627-S0129</t>
        </is>
      </c>
      <c r="C9" s="21" t="inlineStr">
        <is>
          <t>Батбаяр Мишээл</t>
        </is>
      </c>
      <c r="D9" s="21" t="inlineStr">
        <is>
          <t>6а</t>
        </is>
      </c>
      <c r="E9" s="21" t="inlineStr">
        <is>
          <t>MATH-6-01</t>
        </is>
      </c>
      <c r="F9" s="24" t="inlineStr">
        <is>
          <t>Бүхэл тооны нэмэх, хасах, үржүүлэх, хуваах</t>
        </is>
      </c>
      <c r="G9" s="21" t="inlineStr">
        <is>
          <t>ДУТУУ</t>
        </is>
      </c>
      <c r="H9" s="28" t="n">
        <v>0.4</v>
      </c>
      <c r="I9" s="21" t="n">
        <v>1</v>
      </c>
      <c r="J9" s="25" t="n">
        <v>46300</v>
      </c>
      <c r="K9" s="21" t="inlineStr">
        <is>
          <t>Багш</t>
        </is>
      </c>
    </row>
    <row r="10">
      <c r="A10" s="6" t="inlineStr">
        <is>
          <t>ЖИШЭЭ</t>
        </is>
      </c>
      <c r="B10" s="21" t="inlineStr">
        <is>
          <t>EJ-2627-S0128</t>
        </is>
      </c>
      <c r="C10" s="21" t="inlineStr">
        <is>
          <t>Батболд Амармэнд</t>
        </is>
      </c>
      <c r="D10" s="21" t="inlineStr">
        <is>
          <t>6а</t>
        </is>
      </c>
      <c r="E10" s="21" t="inlineStr">
        <is>
          <t>MATH-6-03</t>
        </is>
      </c>
      <c r="F10" s="21" t="inlineStr">
        <is>
          <t>Аравтын бутархайг нэмэх, хасах</t>
        </is>
      </c>
      <c r="G10" s="21" t="inlineStr">
        <is>
          <t>ЭЗЭМШСЭН</t>
        </is>
      </c>
      <c r="H10" s="28" t="n">
        <v>0.95</v>
      </c>
      <c r="I10" s="21" t="n">
        <v>1</v>
      </c>
      <c r="J10" s="25" t="n">
        <v>46300</v>
      </c>
      <c r="K10" s="21" t="inlineStr">
        <is>
          <t>Автомат</t>
        </is>
      </c>
    </row>
    <row r="11">
      <c r="A11" s="6" t="inlineStr">
        <is>
          <t>ЖИШЭЭ</t>
        </is>
      </c>
      <c r="B11" s="21" t="inlineStr">
        <is>
          <t>EJ-2627-S0127</t>
        </is>
      </c>
      <c r="C11" s="21" t="inlineStr">
        <is>
          <t>Батсүх Хангал</t>
        </is>
      </c>
      <c r="D11" s="21" t="inlineStr">
        <is>
          <t>6а</t>
        </is>
      </c>
      <c r="E11" s="21" t="inlineStr">
        <is>
          <t>MATH-6-04</t>
        </is>
      </c>
      <c r="F11" s="21" t="inlineStr">
        <is>
          <t>Аравтын бутархайг үржүүлэх, хуваах</t>
        </is>
      </c>
      <c r="G11" s="21" t="inlineStr">
        <is>
          <t>ҮНЭЛЭГДЭЭГҮЙ</t>
        </is>
      </c>
      <c r="H11" s="28" t="n"/>
      <c r="I11" s="21" t="n">
        <v>0</v>
      </c>
      <c r="J11" s="21" t="n"/>
      <c r="K11" s="21" t="inlineStr">
        <is>
          <t>—</t>
        </is>
      </c>
    </row>
    <row r="13" ht="30" customHeight="1">
      <c r="A13" s="15" t="inlineStr">
        <is>
          <t>Түвшин: ЭЗЭМШСЭН (MASTERED), АХИЦТАЙ (DEVELOPING), ДУТУУ (GAP), ҮНЭЛЭГДЭЭГҮЙ (NOT_ASSESSED). Эх сурвалж «Багш» бол автомат тооцооллыг багш гараар дарж өөрчилсөн гэсэн үг.</t>
        </is>
      </c>
    </row>
  </sheetData>
  <autoFilter ref="A5:K11"/>
  <mergeCells count="4">
    <mergeCell ref="A3:H3"/>
    <mergeCell ref="A2:H2"/>
    <mergeCell ref="A13:H13"/>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10" customWidth="1" min="1" max="1"/>
    <col width="18" customWidth="1" min="2" max="2"/>
    <col width="28" customWidth="1" min="3" max="3"/>
    <col width="8" customWidth="1" min="4" max="4"/>
    <col width="16" customWidth="1" min="5" max="5"/>
    <col width="12" customWidth="1" min="6" max="6"/>
    <col width="18" customWidth="1" min="7" max="7"/>
    <col width="42" customWidth="1" min="8" max="8"/>
    <col width="22" customWidth="1" min="9" max="9"/>
    <col width="10" customWidth="1" min="10" max="10"/>
    <col width="12" customWidth="1" min="11" max="11"/>
    <col width="18" customWidth="1" min="12" max="12"/>
    <col width="40" customWidth="1" min="13" max="13"/>
  </cols>
  <sheetData>
    <row r="1">
      <c r="A1" s="16" t="inlineStr">
        <is>
          <t>Сурагчийн хувийн бэлтгэл</t>
        </is>
      </c>
    </row>
    <row r="2" ht="44" customHeight="1">
      <c r="A2" s="2" t="inlineStr">
        <is>
          <t>Зөвхөн тухайн сурагчид оногдсон ажил. Үндсэн номыг ОРЛОХГҮЙ — дээр нь нэмэгдэнэ. Хоцрогдол нөхөх, бататгах, ахисан түвшин гэсэн гурван төрөлтэй. БААЗАД ХООСОН.</t>
        </is>
      </c>
    </row>
    <row r="3">
      <c r="A3" s="23" t="inlineStr">
        <is>
          <t>ХООСОН — бүхэлдээ сургуулиас авах ёстой</t>
        </is>
      </c>
    </row>
    <row r="5" ht="32" customHeight="1">
      <c r="A5" s="18" t="inlineStr">
        <is>
          <t>Төлөв</t>
        </is>
      </c>
      <c r="B5" s="18" t="inlineStr">
        <is>
          <t>Сурагчийн код</t>
        </is>
      </c>
      <c r="C5" s="18" t="inlineStr">
        <is>
          <t>Овог нэр</t>
        </is>
      </c>
      <c r="D5" s="18" t="inlineStr">
        <is>
          <t>Анги</t>
        </is>
      </c>
      <c r="E5" s="18" t="inlineStr">
        <is>
          <t>Хичээл</t>
        </is>
      </c>
      <c r="F5" s="18" t="inlineStr">
        <is>
          <t>Огноо</t>
        </is>
      </c>
      <c r="G5" s="18" t="inlineStr">
        <is>
          <t>Ажлын төрөл</t>
        </is>
      </c>
      <c r="H5" s="18" t="inlineStr">
        <is>
          <t>Даалгавар</t>
        </is>
      </c>
      <c r="I5" s="18" t="inlineStr">
        <is>
          <t>Эх сурвалж</t>
        </is>
      </c>
      <c r="J5" s="18" t="inlineStr">
        <is>
          <t>Хуудас</t>
        </is>
      </c>
      <c r="K5" s="18" t="inlineStr">
        <is>
          <t>Хугацаа (мин)</t>
        </is>
      </c>
      <c r="L5" s="18" t="inlineStr">
        <is>
          <t>Оноосон багш</t>
        </is>
      </c>
      <c r="M5" s="18" t="inlineStr">
        <is>
          <t>Шалтгаан</t>
        </is>
      </c>
    </row>
    <row r="6">
      <c r="A6" s="6" t="inlineStr">
        <is>
          <t>ЖИШЭЭ</t>
        </is>
      </c>
      <c r="B6" s="21" t="inlineStr">
        <is>
          <t>EJ-2627-S0129</t>
        </is>
      </c>
      <c r="C6" s="21" t="inlineStr">
        <is>
          <t>Батбаяр Мишээл</t>
        </is>
      </c>
      <c r="D6" s="21" t="inlineStr">
        <is>
          <t>6а</t>
        </is>
      </c>
      <c r="E6" s="21" t="inlineStr">
        <is>
          <t>Математик</t>
        </is>
      </c>
      <c r="F6" s="25" t="n">
        <v>46301</v>
      </c>
      <c r="G6" s="21" t="inlineStr">
        <is>
          <t>Нөхөх</t>
        </is>
      </c>
      <c r="H6" s="21" t="inlineStr">
        <is>
          <t>Бутархайн нэмэх, хасах үйлдлийг давтах</t>
        </is>
      </c>
      <c r="I6" s="21" t="inlineStr">
        <is>
          <t>Математик V ном</t>
        </is>
      </c>
      <c r="J6" s="21" t="inlineStr">
        <is>
          <t>88–92</t>
        </is>
      </c>
      <c r="K6" s="21" t="n">
        <v>20</v>
      </c>
      <c r="L6" s="21" t="inlineStr">
        <is>
          <t>Б.Буянзаяа</t>
        </is>
      </c>
      <c r="M6" s="21" t="inlineStr">
        <is>
          <t>Шалгалтад 8/20 авсан — суурь дутуу</t>
        </is>
      </c>
    </row>
    <row r="7">
      <c r="A7" s="6" t="inlineStr">
        <is>
          <t>ЖИШЭЭ</t>
        </is>
      </c>
      <c r="B7" s="21" t="inlineStr">
        <is>
          <t>EJ-2627-S0129</t>
        </is>
      </c>
      <c r="C7" s="21" t="inlineStr">
        <is>
          <t>Батбаяр Мишээл</t>
        </is>
      </c>
      <c r="D7" s="21" t="inlineStr">
        <is>
          <t>6а</t>
        </is>
      </c>
      <c r="E7" s="21" t="inlineStr">
        <is>
          <t>Математик</t>
        </is>
      </c>
      <c r="F7" s="25" t="n">
        <v>46301</v>
      </c>
      <c r="G7" s="21" t="inlineStr">
        <is>
          <t>Бататгах</t>
        </is>
      </c>
      <c r="H7" s="21" t="inlineStr">
        <is>
          <t>Хувийн дасгал №1 — 10 бодлого</t>
        </is>
      </c>
      <c r="I7" s="21" t="inlineStr">
        <is>
          <t>Багшийн бэлтгэсэн</t>
        </is>
      </c>
      <c r="J7" s="21" t="n"/>
      <c r="K7" s="21" t="n">
        <v>15</v>
      </c>
      <c r="L7" s="21" t="inlineStr">
        <is>
          <t>Б.Буянзаяа</t>
        </is>
      </c>
      <c r="M7" s="21" t="inlineStr">
        <is>
          <t>Долоо хоногт 2 удаа</t>
        </is>
      </c>
    </row>
    <row r="8">
      <c r="A8" s="6" t="inlineStr">
        <is>
          <t>ЖИШЭЭ</t>
        </is>
      </c>
      <c r="B8" s="21" t="inlineStr">
        <is>
          <t>EJ-2627-S0113</t>
        </is>
      </c>
      <c r="C8" s="21" t="inlineStr">
        <is>
          <t>Аюушбаатар Мөнхжин</t>
        </is>
      </c>
      <c r="D8" s="21" t="inlineStr">
        <is>
          <t>6а</t>
        </is>
      </c>
      <c r="E8" s="21" t="inlineStr">
        <is>
          <t>Математик</t>
        </is>
      </c>
      <c r="F8" s="25" t="n">
        <v>46301</v>
      </c>
      <c r="G8" s="21" t="inlineStr">
        <is>
          <t>Бататгах</t>
        </is>
      </c>
      <c r="H8" s="21" t="inlineStr">
        <is>
          <t>Хуваагдах шинжийн 15 минутын бататгал</t>
        </is>
      </c>
      <c r="I8" s="21" t="inlineStr">
        <is>
          <t>Математик VI ном</t>
        </is>
      </c>
      <c r="J8" s="21" t="inlineStr">
        <is>
          <t>12–13</t>
        </is>
      </c>
      <c r="K8" s="21" t="n">
        <v>15</v>
      </c>
      <c r="L8" s="21" t="inlineStr">
        <is>
          <t>Б.Буянзаяа</t>
        </is>
      </c>
      <c r="M8" s="21" t="inlineStr">
        <is>
          <t>Тухайн сэдэв дээр алдаж байна</t>
        </is>
      </c>
    </row>
    <row r="9">
      <c r="A9" s="6" t="inlineStr">
        <is>
          <t>ЖИШЭЭ</t>
        </is>
      </c>
      <c r="B9" s="21" t="inlineStr">
        <is>
          <t>EJ-2627-S0128</t>
        </is>
      </c>
      <c r="C9" s="21" t="inlineStr">
        <is>
          <t>Батболд Амармэнд</t>
        </is>
      </c>
      <c r="D9" s="21" t="inlineStr">
        <is>
          <t>6а</t>
        </is>
      </c>
      <c r="E9" s="21" t="inlineStr">
        <is>
          <t>Математик</t>
        </is>
      </c>
      <c r="F9" s="25" t="n">
        <v>46301</v>
      </c>
      <c r="G9" s="21" t="inlineStr">
        <is>
          <t>Ахисан түвшин</t>
        </is>
      </c>
      <c r="H9" s="21" t="inlineStr">
        <is>
          <t>Олимпиадын бодлого — олонлог</t>
        </is>
      </c>
      <c r="I9" s="21" t="inlineStr">
        <is>
          <t>Нэмэлт эмхэтгэл</t>
        </is>
      </c>
      <c r="J9" s="21" t="inlineStr">
        <is>
          <t>4–6</t>
        </is>
      </c>
      <c r="K9" s="21" t="n">
        <v>30</v>
      </c>
      <c r="L9" s="21" t="inlineStr">
        <is>
          <t>Б.Буянзаяа</t>
        </is>
      </c>
      <c r="M9" s="21" t="inlineStr">
        <is>
          <t>Ангийн агуулгыг бүрэн эзэмшсэн</t>
        </is>
      </c>
    </row>
    <row r="11" ht="30" customHeight="1">
      <c r="A11" s="15" t="inlineStr">
        <is>
          <t>Үндсэн хичээл ангиараа нэг, хувийн бэлтгэл хүүхэд бүрд өөр. Хоёрыг хольж болохгүй.</t>
        </is>
      </c>
    </row>
  </sheetData>
  <autoFilter ref="A5:M9"/>
  <mergeCells count="4">
    <mergeCell ref="A11:H11"/>
    <mergeCell ref="A3:H3"/>
    <mergeCell ref="A2:H2"/>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9"/>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48" customWidth="1" min="3" max="3"/>
    <col width="34" customWidth="1" min="4" max="4"/>
    <col width="26" customWidth="1" min="5" max="5"/>
    <col width="12" customWidth="1" min="6" max="6"/>
  </cols>
  <sheetData>
    <row r="1">
      <c r="A1" s="16" t="inlineStr">
        <is>
          <t>Хуудас ↔ өгөгдлийн сангийн хүснэгт</t>
        </is>
      </c>
    </row>
    <row r="2" ht="44" customHeight="1">
      <c r="A2" s="2" t="inlineStr">
        <is>
          <t>Хөгжүүлэгчид зориулсан лавлах: Excel-ийн хуудас бүр баазын аль хүснэгттэй тохирохыг заана.</t>
        </is>
      </c>
    </row>
    <row r="3">
      <c r="A3" s="17" t="inlineStr">
        <is>
          <t>БОДИТ ӨГӨГДӨЛ — баазад бүрэн орсон</t>
        </is>
      </c>
    </row>
    <row r="5" ht="32" customHeight="1">
      <c r="A5" s="18" t="inlineStr">
        <is>
          <t>Төлөв</t>
        </is>
      </c>
      <c r="B5" s="18" t="inlineStr">
        <is>
          <t>Excel хуудас</t>
        </is>
      </c>
      <c r="C5" s="18" t="inlineStr">
        <is>
          <t>Баазын хүснэгт</t>
        </is>
      </c>
      <c r="D5" s="18" t="inlineStr">
        <is>
          <t>Тайлбар</t>
        </is>
      </c>
      <c r="E5" s="18" t="inlineStr">
        <is>
          <t>Одоогийн байдал</t>
        </is>
      </c>
      <c r="F5" s="18" t="inlineStr">
        <is>
          <t>Мөрийн тоо</t>
        </is>
      </c>
    </row>
    <row r="6">
      <c r="A6" s="19" t="inlineStr">
        <is>
          <t>БОДИТ</t>
        </is>
      </c>
      <c r="B6" s="20" t="inlineStr">
        <is>
          <t>02 Хичээл</t>
        </is>
      </c>
      <c r="C6" s="20" t="inlineStr">
        <is>
          <t>core.subjects</t>
        </is>
      </c>
      <c r="D6" s="20" t="inlineStr">
        <is>
          <t>Хичээлийн лавлах</t>
        </is>
      </c>
      <c r="E6" s="20" t="inlineStr">
        <is>
          <t>Бодит</t>
        </is>
      </c>
      <c r="F6" s="20" t="n">
        <v>12</v>
      </c>
    </row>
    <row r="7">
      <c r="A7" s="19" t="inlineStr">
        <is>
          <t>БОДИТ</t>
        </is>
      </c>
      <c r="B7" s="20" t="inlineStr">
        <is>
          <t>03 Анги</t>
        </is>
      </c>
      <c r="C7" s="20" t="inlineStr">
        <is>
          <t>core.classes</t>
        </is>
      </c>
      <c r="D7" s="20" t="inlineStr">
        <is>
          <t>Ангийн лавлах</t>
        </is>
      </c>
      <c r="E7" s="20" t="inlineStr">
        <is>
          <t>Бодит (АУБ дутуу)</t>
        </is>
      </c>
      <c r="F7" s="20" t="n">
        <v>14</v>
      </c>
    </row>
    <row r="8">
      <c r="A8" s="19" t="inlineStr">
        <is>
          <t>БОДИТ</t>
        </is>
      </c>
      <c r="B8" s="20" t="inlineStr">
        <is>
          <t>04 Багш</t>
        </is>
      </c>
      <c r="C8" s="20" t="inlineStr">
        <is>
          <t>core.teachers + core.users</t>
        </is>
      </c>
      <c r="D8" s="20" t="inlineStr">
        <is>
          <t>Багшийн лавлах</t>
        </is>
      </c>
      <c r="E8" s="20" t="inlineStr">
        <is>
          <t>Бодит (үндсэн хичээл дутуу)</t>
        </is>
      </c>
      <c r="F8" s="20" t="n">
        <v>24</v>
      </c>
    </row>
    <row r="9">
      <c r="A9" s="6" t="inlineStr">
        <is>
          <t>ЖИШЭЭ</t>
        </is>
      </c>
      <c r="B9" s="21" t="inlineStr">
        <is>
          <t>05 Багш-анги-хичээл</t>
        </is>
      </c>
      <c r="C9" s="21" t="inlineStr">
        <is>
          <t>core.class_teachers</t>
        </is>
      </c>
      <c r="D9" s="21" t="inlineStr">
        <is>
          <t>Хэн аль ангид юу заадаг</t>
        </is>
      </c>
      <c r="E9" s="21" t="inlineStr">
        <is>
          <t>ХООСОН</t>
        </is>
      </c>
      <c r="F9" s="21" t="n">
        <v>0</v>
      </c>
    </row>
    <row r="10">
      <c r="A10" s="19" t="inlineStr">
        <is>
          <t>БОДИТ</t>
        </is>
      </c>
      <c r="B10" s="20" t="inlineStr">
        <is>
          <t>06 Сурагч</t>
        </is>
      </c>
      <c r="C10" s="20" t="inlineStr">
        <is>
          <t>core.students + core.student_enrollments</t>
        </is>
      </c>
      <c r="D10" s="20" t="inlineStr">
        <is>
          <t>Сурагч ба элсэлт</t>
        </is>
      </c>
      <c r="E10" s="20" t="inlineStr">
        <is>
          <t>Бодит</t>
        </is>
      </c>
      <c r="F10" s="20" t="n">
        <v>247</v>
      </c>
    </row>
    <row r="11">
      <c r="A11" s="19" t="inlineStr">
        <is>
          <t>БОДИТ</t>
        </is>
      </c>
      <c r="B11" s="20" t="inlineStr">
        <is>
          <t>07 Ном</t>
        </is>
      </c>
      <c r="C11" s="20" t="inlineStr">
        <is>
          <t>content.source_materials</t>
        </is>
      </c>
      <c r="D11" s="20" t="inlineStr">
        <is>
          <t>Сурах бичиг</t>
        </is>
      </c>
      <c r="E11" s="20" t="inlineStr">
        <is>
          <t>Бодит</t>
        </is>
      </c>
      <c r="F11" s="20" t="n">
        <v>11</v>
      </c>
    </row>
    <row r="12">
      <c r="A12" s="19" t="inlineStr">
        <is>
          <t>БОДИТ</t>
        </is>
      </c>
      <c r="B12" s="20" t="inlineStr">
        <is>
          <t>08 Анги-хичээл-ном</t>
        </is>
      </c>
      <c r="C12" s="20" t="inlineStr">
        <is>
          <t>core.class_subjects</t>
        </is>
      </c>
      <c r="D12" s="20" t="inlineStr">
        <is>
          <t>Анги ямар хичээл, аль номоор</t>
        </is>
      </c>
      <c r="E12" s="20" t="inlineStr">
        <is>
          <t>Хэсэгчилсэн</t>
        </is>
      </c>
      <c r="F12" s="20" t="n">
        <v>119</v>
      </c>
    </row>
    <row r="13">
      <c r="A13" s="19" t="inlineStr">
        <is>
          <t>БОДИТ</t>
        </is>
      </c>
      <c r="B13" s="20" t="inlineStr">
        <is>
          <t>09 Номын сэдэв</t>
        </is>
      </c>
      <c r="C13" s="20" t="inlineStr">
        <is>
          <t>content.source_outline_nodes</t>
        </is>
      </c>
      <c r="D13" s="20" t="inlineStr">
        <is>
          <t>Номын бүлэг, сэдэв, хуудас</t>
        </is>
      </c>
      <c r="E13" s="20" t="inlineStr">
        <is>
          <t>Хэсэгчилсэн (2/11 ном)</t>
        </is>
      </c>
      <c r="F13" s="20" t="n">
        <v>99</v>
      </c>
    </row>
    <row r="14">
      <c r="A14" s="19" t="inlineStr">
        <is>
          <t>БОДИТ</t>
        </is>
      </c>
      <c r="B14" s="20" t="inlineStr">
        <is>
          <t>10 Улирал</t>
        </is>
      </c>
      <c r="C14" s="20" t="inlineStr">
        <is>
          <t>learning.terms</t>
        </is>
      </c>
      <c r="D14" s="20" t="inlineStr">
        <is>
          <t>Улирлын огноо</t>
        </is>
      </c>
      <c r="E14" s="20" t="inlineStr">
        <is>
          <t>Түр таамаг</t>
        </is>
      </c>
      <c r="F14" s="20" t="n">
        <v>4</v>
      </c>
    </row>
    <row r="15">
      <c r="A15" s="19" t="inlineStr">
        <is>
          <t>БОДИТ</t>
        </is>
      </c>
      <c r="B15" s="20" t="inlineStr">
        <is>
          <t>11 Ангийн одоогийн сэдэв</t>
        </is>
      </c>
      <c r="C15" s="20" t="inlineStr">
        <is>
          <t>learning.class_topics</t>
        </is>
      </c>
      <c r="D15" s="20" t="inlineStr">
        <is>
          <t>Анги хаана явж байна</t>
        </is>
      </c>
      <c r="E15" s="20" t="inlineStr">
        <is>
          <t>Хэсэгчилсэн</t>
        </is>
      </c>
      <c r="F15" s="20" t="n">
        <v>1</v>
      </c>
    </row>
    <row r="16">
      <c r="A16" s="6" t="inlineStr">
        <is>
          <t>ЖИШЭЭ</t>
        </is>
      </c>
      <c r="B16" s="21" t="inlineStr">
        <is>
          <t>12 Хичээлийн хуваарь</t>
        </is>
      </c>
      <c r="C16" s="21" t="inlineStr">
        <is>
          <t>learning.class_schedule</t>
        </is>
      </c>
      <c r="D16" s="21" t="inlineStr">
        <is>
          <t>Долоо хоногийн хуваарь</t>
        </is>
      </c>
      <c r="E16" s="21" t="inlineStr">
        <is>
          <t>ХООСОН</t>
        </is>
      </c>
      <c r="F16" s="21" t="n">
        <v>0</v>
      </c>
    </row>
    <row r="17">
      <c r="A17" s="6" t="inlineStr">
        <is>
          <t>ЖИШЭЭ</t>
        </is>
      </c>
      <c r="B17" s="21" t="inlineStr">
        <is>
          <t>13 Хичээлийн агуулга</t>
        </is>
      </c>
      <c r="C17" s="21" t="inlineStr">
        <is>
          <t>learning.daily_lessons</t>
        </is>
      </c>
      <c r="D17" s="21" t="inlineStr">
        <is>
          <t>Хичээлийн бичвэр агуулга</t>
        </is>
      </c>
      <c r="E17" s="21" t="inlineStr">
        <is>
          <t>ХООСОН</t>
        </is>
      </c>
      <c r="F17" s="21" t="n">
        <v>0</v>
      </c>
    </row>
    <row r="18">
      <c r="A18" s="6" t="inlineStr">
        <is>
          <t>ЖИШЭЭ</t>
        </is>
      </c>
      <c r="B18" s="21" t="inlineStr">
        <is>
          <t>14 Чадвар</t>
        </is>
      </c>
      <c r="C18" s="21" t="inlineStr">
        <is>
          <t>content.skills</t>
        </is>
      </c>
      <c r="D18" s="21" t="inlineStr">
        <is>
          <t>Сурагч юу чаддаг болох ёстой</t>
        </is>
      </c>
      <c r="E18" s="21" t="inlineStr">
        <is>
          <t>ХООСОН</t>
        </is>
      </c>
      <c r="F18" s="21" t="n">
        <v>0</v>
      </c>
    </row>
    <row r="19">
      <c r="A19" s="6" t="inlineStr">
        <is>
          <t>ЖИШЭЭ</t>
        </is>
      </c>
      <c r="B19" s="21" t="inlineStr">
        <is>
          <t>15 Чадварын урьдач нөхцөл</t>
        </is>
      </c>
      <c r="C19" s="21" t="inlineStr">
        <is>
          <t>content.skill_dependencies</t>
        </is>
      </c>
      <c r="D19" s="21" t="inlineStr">
        <is>
          <t>Чадвар ↔ чадвар гинж</t>
        </is>
      </c>
      <c r="E19" s="21" t="inlineStr">
        <is>
          <t>ХООСОН</t>
        </is>
      </c>
      <c r="F19" s="21" t="n">
        <v>0</v>
      </c>
    </row>
    <row r="20">
      <c r="A20" s="6" t="inlineStr">
        <is>
          <t>ЖИШЭЭ</t>
        </is>
      </c>
      <c r="B20" s="21" t="inlineStr">
        <is>
          <t>16 Сэдэв-чадвар-ном</t>
        </is>
      </c>
      <c r="C20" s="24" t="inlineStr">
        <is>
          <t>content.content_nodes + content_skill_maps + content_source_alignments</t>
        </is>
      </c>
      <c r="D20" s="21" t="inlineStr">
        <is>
          <t>Чадварыг номын аль хэсгээр заадаг</t>
        </is>
      </c>
      <c r="E20" s="21" t="inlineStr">
        <is>
          <t>ХООСОН</t>
        </is>
      </c>
      <c r="F20" s="21" t="n">
        <v>0</v>
      </c>
    </row>
    <row r="21">
      <c r="A21" s="6" t="inlineStr">
        <is>
          <t>ЖИШЭЭ</t>
        </is>
      </c>
      <c r="B21" s="21" t="inlineStr">
        <is>
          <t>17 Асуултын сан</t>
        </is>
      </c>
      <c r="C21" s="21" t="inlineStr">
        <is>
          <t>assessment.diagnostic_items</t>
        </is>
      </c>
      <c r="D21" s="21" t="inlineStr">
        <is>
          <t>Асуулт → чадвар + номын сэдэв</t>
        </is>
      </c>
      <c r="E21" s="21" t="inlineStr">
        <is>
          <t>ХООСОН</t>
        </is>
      </c>
      <c r="F21" s="21" t="n">
        <v>0</v>
      </c>
    </row>
    <row r="22">
      <c r="A22" s="6" t="inlineStr">
        <is>
          <t>ЖИШЭЭ</t>
        </is>
      </c>
      <c r="B22" s="21" t="inlineStr">
        <is>
          <t>18 Асуултын сонголт</t>
        </is>
      </c>
      <c r="C22" s="21" t="inlineStr">
        <is>
          <t>assessment.diagnostic_item_options</t>
        </is>
      </c>
      <c r="D22" s="21" t="inlineStr">
        <is>
          <t>Сонголттой хариулт, аль нь зөв</t>
        </is>
      </c>
      <c r="E22" s="21" t="inlineStr">
        <is>
          <t>ХООСОН</t>
        </is>
      </c>
      <c r="F22" s="21" t="n">
        <v>0</v>
      </c>
    </row>
    <row r="23">
      <c r="A23" s="6" t="inlineStr">
        <is>
          <t>ЖИШЭЭ</t>
        </is>
      </c>
      <c r="B23" s="21" t="inlineStr">
        <is>
          <t>19 Дасгал даалгавар</t>
        </is>
      </c>
      <c r="C23" s="21" t="inlineStr">
        <is>
          <t>learning.tasks</t>
        </is>
      </c>
      <c r="D23" s="21" t="inlineStr">
        <is>
          <t>Чадвар эзэмшүүлэх дасгал</t>
        </is>
      </c>
      <c r="E23" s="21" t="inlineStr">
        <is>
          <t>ХООСОН</t>
        </is>
      </c>
      <c r="F23" s="21" t="n">
        <v>0</v>
      </c>
    </row>
    <row r="24">
      <c r="A24" s="6" t="inlineStr">
        <is>
          <t>ЖИШЭЭ</t>
        </is>
      </c>
      <c r="B24" s="21" t="inlineStr">
        <is>
          <t>20 Эзэмшилт шалгах</t>
        </is>
      </c>
      <c r="C24" s="21" t="inlineStr">
        <is>
          <t>learning.mastery_checks</t>
        </is>
      </c>
      <c r="D24" s="21" t="inlineStr">
        <is>
          <t>Эзэмшсэн эсэхийг шийдэх асуулт</t>
        </is>
      </c>
      <c r="E24" s="21" t="inlineStr">
        <is>
          <t>ХООСОН</t>
        </is>
      </c>
      <c r="F24" s="21" t="n">
        <v>0</v>
      </c>
    </row>
    <row r="25">
      <c r="A25" s="19" t="inlineStr">
        <is>
          <t>БОДИТ</t>
        </is>
      </c>
      <c r="B25" s="20" t="inlineStr">
        <is>
          <t>21 Шалгалт</t>
        </is>
      </c>
      <c r="C25" s="10" t="inlineStr">
        <is>
          <t>assessment.diagnostic_attempts (хэсэгчлэн)</t>
        </is>
      </c>
      <c r="D25" s="20" t="inlineStr">
        <is>
          <t>Шалгалтын хуваарь</t>
        </is>
      </c>
      <c r="E25" s="20" t="inlineStr">
        <is>
          <t>ХООСОН — хүснэгт дутуу</t>
        </is>
      </c>
      <c r="F25" s="20" t="n">
        <v>0</v>
      </c>
    </row>
    <row r="26">
      <c r="A26" s="6" t="inlineStr">
        <is>
          <t>ЖИШЭЭ</t>
        </is>
      </c>
      <c r="B26" s="21" t="inlineStr">
        <is>
          <t>23 Шалгалтын дүн</t>
        </is>
      </c>
      <c r="C26" s="21" t="inlineStr">
        <is>
          <t>assessment.diagnostic_attempts</t>
        </is>
      </c>
      <c r="D26" s="21" t="inlineStr">
        <is>
          <t>Нэг сурагчийн нэг шалгалтын нийт оноо</t>
        </is>
      </c>
      <c r="E26" s="21" t="inlineStr">
        <is>
          <t>ХООСОН</t>
        </is>
      </c>
      <c r="F26" s="21" t="n">
        <v>0</v>
      </c>
    </row>
    <row r="27">
      <c r="A27" s="6" t="inlineStr">
        <is>
          <t>ЖИШЭЭ</t>
        </is>
      </c>
      <c r="B27" s="21" t="inlineStr">
        <is>
          <t>24 Асуултын хариулт</t>
        </is>
      </c>
      <c r="C27" s="24" t="inlineStr">
        <is>
          <t>assessment.diagnostic_responses / web_diagnostic_answers</t>
        </is>
      </c>
      <c r="D27" s="21" t="inlineStr">
        <is>
          <t>Асуулт тус бүрийн хариулт, оноо</t>
        </is>
      </c>
      <c r="E27" s="21" t="inlineStr">
        <is>
          <t>ХООСОН</t>
        </is>
      </c>
      <c r="F27" s="21" t="n">
        <v>0</v>
      </c>
    </row>
    <row r="28">
      <c r="A28" s="6" t="inlineStr">
        <is>
          <t>ЖИШЭЭ</t>
        </is>
      </c>
      <c r="B28" s="21" t="inlineStr">
        <is>
          <t>25 Чадварын түвшин</t>
        </is>
      </c>
      <c r="C28" s="21" t="inlineStr">
        <is>
          <t>learning.student_skill_mastery</t>
        </is>
      </c>
      <c r="D28" s="24" t="inlineStr">
        <is>
          <t>Сурагч чадвар бүрийг ямар түвшинд эзэмшсэн</t>
        </is>
      </c>
      <c r="E28" s="21" t="inlineStr">
        <is>
          <t>ХООСОН</t>
        </is>
      </c>
      <c r="F28" s="21" t="n">
        <v>0</v>
      </c>
    </row>
    <row r="29">
      <c r="A29" s="6" t="inlineStr">
        <is>
          <t>ЖИШЭЭ</t>
        </is>
      </c>
      <c r="B29" s="21" t="inlineStr">
        <is>
          <t>26 Хувийн ажил</t>
        </is>
      </c>
      <c r="C29" s="21" t="inlineStr">
        <is>
          <t>learning.student_assignments</t>
        </is>
      </c>
      <c r="D29" s="21" t="inlineStr">
        <is>
          <t>Сурагчийн хувийн даалгавар</t>
        </is>
      </c>
      <c r="E29" s="21" t="inlineStr">
        <is>
          <t>ХООСОН</t>
        </is>
      </c>
      <c r="F29" s="21" t="n">
        <v>0</v>
      </c>
    </row>
  </sheetData>
  <autoFilter ref="A5:F29"/>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2026-09-22T04:32:35Z</dcterms:created>
  <dcterms:modified xsi:type="dcterms:W3CDTF">2026-09-22T04:32:36Z</dcterms:modified>
</cp:coreProperties>
</file>